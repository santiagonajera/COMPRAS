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-SNAJERA\descargas\"/>
    </mc:Choice>
  </mc:AlternateContent>
  <xr:revisionPtr revIDLastSave="0" documentId="8_{947DCFCE-D2EC-4430-941A-E735A7F4A994}" xr6:coauthVersionLast="47" xr6:coauthVersionMax="47" xr10:uidLastSave="{00000000-0000-0000-0000-000000000000}"/>
  <bookViews>
    <workbookView xWindow="-28920" yWindow="-120" windowWidth="29040" windowHeight="15840" xr2:uid="{076C7875-3647-4B12-B023-4D814138B2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1" l="1"/>
  <c r="F44" i="1"/>
  <c r="F43" i="1"/>
  <c r="F41" i="1"/>
  <c r="G28" i="1"/>
  <c r="G27" i="1"/>
  <c r="J30" i="1"/>
  <c r="J31" i="1"/>
  <c r="J29" i="1"/>
  <c r="J28" i="1"/>
  <c r="J27" i="1"/>
  <c r="E27" i="1"/>
  <c r="H26" i="1"/>
  <c r="E26" i="1"/>
  <c r="H25" i="1"/>
  <c r="E17" i="1"/>
  <c r="E15" i="1"/>
  <c r="E14" i="1"/>
  <c r="E11" i="1"/>
  <c r="E13" i="1" s="1"/>
  <c r="E8" i="1"/>
  <c r="E4" i="1"/>
  <c r="E3" i="1"/>
  <c r="H27" i="1" l="1"/>
  <c r="E28" i="1" s="1"/>
  <c r="H28" i="1" s="1"/>
  <c r="E29" i="1" s="1"/>
  <c r="G29" i="1" s="1"/>
  <c r="H29" i="1" l="1"/>
  <c r="E30" i="1" s="1"/>
  <c r="G30" i="1" s="1"/>
  <c r="H30" i="1" s="1"/>
  <c r="E31" i="1" s="1"/>
  <c r="G31" i="1" s="1"/>
  <c r="H31" i="1" l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<sst xmlns="http://schemas.openxmlformats.org/spreadsheetml/2006/main" count="50" uniqueCount="45">
  <si>
    <t>Promedio</t>
  </si>
  <si>
    <t>Desv. STd</t>
  </si>
  <si>
    <t>Nivel de Serv</t>
  </si>
  <si>
    <t>Factor N.Ser</t>
  </si>
  <si>
    <t>=DISTR.NORM.ESTAND.INV(E6)</t>
  </si>
  <si>
    <t>Lead Time</t>
  </si>
  <si>
    <t>días</t>
  </si>
  <si>
    <t>meses</t>
  </si>
  <si>
    <t>Stock Seg</t>
  </si>
  <si>
    <t>=+E8*E4*RAIZ(E11)</t>
  </si>
  <si>
    <t>=(E10+0,5)/30</t>
  </si>
  <si>
    <t>S.Seg días</t>
  </si>
  <si>
    <t>Techo días</t>
  </si>
  <si>
    <t>Optimo</t>
  </si>
  <si>
    <t>=+E14+E10/2</t>
  </si>
  <si>
    <t>S.Final = S.Inicial - Consumo + Compra</t>
  </si>
  <si>
    <t>S.Final → Inventario Optimo</t>
  </si>
  <si>
    <t>Inv. Optimo = S. Inicial - Consumo +Compra</t>
  </si>
  <si>
    <t>S. Inicial</t>
  </si>
  <si>
    <t>Consumo</t>
  </si>
  <si>
    <t>Compras</t>
  </si>
  <si>
    <t>S. Final</t>
  </si>
  <si>
    <t>Mes 1</t>
  </si>
  <si>
    <t>Mes 2</t>
  </si>
  <si>
    <t>Mes 3</t>
  </si>
  <si>
    <t>Mes 4</t>
  </si>
  <si>
    <t>Mes 5</t>
  </si>
  <si>
    <t>Mes 6</t>
  </si>
  <si>
    <t>Mes 7</t>
  </si>
  <si>
    <t>Inv. Opt</t>
  </si>
  <si>
    <t>In.Opt-S.Inicial + Consumo = Compra</t>
  </si>
  <si>
    <t>=REDONDEAR.MAS((J27-E27+F27)/100;0)*100</t>
  </si>
  <si>
    <t>=MAX(0;REDONDEAR.MAS((J29-E29+F29)/100;0)*100)</t>
  </si>
  <si>
    <t>Prod. Limp. Pisos</t>
  </si>
  <si>
    <t>Consumo día</t>
  </si>
  <si>
    <t>litros día</t>
  </si>
  <si>
    <t>Lt. pro</t>
  </si>
  <si>
    <t>desv Lt.</t>
  </si>
  <si>
    <t>N.Serv</t>
  </si>
  <si>
    <t>Facto N.Ser</t>
  </si>
  <si>
    <t>=+F37*F39*F41</t>
  </si>
  <si>
    <t>Stock Seg uni.</t>
  </si>
  <si>
    <t>Stock Seg. Días</t>
  </si>
  <si>
    <t>Desv. Lt</t>
  </si>
  <si>
    <t>=+E8*RAIZ((E11*E4^2)+(E12/30)^2*(E3^2))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</si>
</sst>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9" fontId="0" fillId="0" borderId="0" xfId="0" applyNumberFormat="1"/>
    <xf numFmtId="0" fontId="0" fillId="0" borderId="0" xfId="0" quotePrefix="1"/>
    <xf numFmtId="10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2" borderId="0" xfId="0" quotePrefix="1" applyFill="1"/>
    <xf numFmtId="0" fontId="1" fillId="0" borderId="0" xfId="0" quotePrefix="1" applyFont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2" fontId="0" fillId="0" borderId="0" xfId="0" applyNumberForma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631031</xdr:colOff>
      <xdr:row>22</xdr:row>
      <xdr:rowOff>0</xdr:rowOff>
    </xdr:from>
    <xdr:to>
      <xdr:col>6</xdr:col>
      <xdr:colOff>95250</xdr:colOff>
      <xdr:row>26</xdr:row>
      <xdr:rowOff>51594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1CC0180-4C22-8B38-20D5-030CDCEA1E72}"/>
            </a:ext>
          </a:extLst>
        </xdr:cNvPr>
        <xdr:cNvCxnSpPr/>
      </xdr:nvCxnSpPr>
      <xdr:spPr>
        <a:xfrm>
          <a:off x="2917031" y="4191000"/>
          <a:ext cx="2575719" cy="8135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587374</xdr:colOff>
      <xdr:row>17</xdr:row>
      <xdr:rowOff>3969</xdr:rowOff>
    </xdr:from>
    <xdr:to>
      <xdr:col>8</xdr:col>
      <xdr:colOff>2176462</xdr:colOff>
      <xdr:row>25</xdr:row>
      <xdr:rowOff>13494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74FE044-EBB5-03CA-CCF9-4AAC79C54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1593" y="3242469"/>
          <a:ext cx="4085432" cy="1533525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3</xdr:col>
      <xdr:colOff>301625</xdr:colOff>
      <xdr:row>44</xdr:row>
      <xdr:rowOff>35717</xdr:rowOff>
    </xdr:from>
    <xdr:to>
      <xdr:col>8</xdr:col>
      <xdr:colOff>805656</xdr:colOff>
      <xdr:row>48</xdr:row>
      <xdr:rowOff>117602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3 Rectángulo">
              <a:extLst>
                <a:ext uri="{FF2B5EF4-FFF2-40B4-BE49-F238E27FC236}">
                  <a16:creationId xmlns:a16="http://schemas.microsoft.com/office/drawing/2014/main" id="{46C90B88-8044-4D8A-82D3-80DEFC53172D}"/>
                </a:ext>
              </a:extLst>
            </xdr:cNvPr>
            <xdr:cNvSpPr/>
          </xdr:nvSpPr>
          <xdr:spPr>
            <a:xfrm>
              <a:off x="1996281" y="8417717"/>
              <a:ext cx="4683125" cy="84388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14:m>
                <m:oMathPara xmlns:m="http://schemas.openxmlformats.org/officeDocument/2006/math">
                  <m:oMath>
                    <m:r>
                      <a:rPr lang="en-US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𝑆𝑠</m:t>
                    </m:r>
                    <m:r>
                      <a:rPr lang="es-AR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𝑍</m:t>
                        </m:r>
                      </m:e>
                      <m:sub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𝛼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es-AR" sz="240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𝐿</m:t>
                                </m:r>
                              </m:sub>
                            </m:s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+</m:t>
                            </m:r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e>
                        </m:d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𝐿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7" name="3 Rectángulo">
              <a:extLst>
                <a:ext uri="{FF2B5EF4-FFF2-40B4-BE49-F238E27FC236}">
                  <a16:creationId xmlns:a16="http://schemas.microsoft.com/office/drawing/2014/main" id="{46C90B88-8044-4D8A-82D3-80DEFC53172D}"/>
                </a:ext>
              </a:extLst>
            </xdr:cNvPr>
            <xdr:cNvSpPr/>
          </xdr:nvSpPr>
          <xdr:spPr>
            <a:xfrm>
              <a:off x="1996281" y="8417717"/>
              <a:ext cx="4683125" cy="84388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:r>
                <a:rPr lang="en-US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𝑆𝑠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=</a:t>
              </a:r>
              <a:r>
                <a:rPr lang="es-AR" sz="2400" b="0" i="0">
                  <a:ln>
                    <a:noFill/>
                  </a:ln>
                  <a:solidFill>
                    <a:srgbClr val="00206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𝑍_𝛼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s-AR" sz="240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√((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𝐿+𝑅)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𝑑^2+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𝐿^2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𝑑^2 )</a:t>
              </a:r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>
    <xdr:from>
      <xdr:col>4</xdr:col>
      <xdr:colOff>341313</xdr:colOff>
      <xdr:row>4</xdr:row>
      <xdr:rowOff>170656</xdr:rowOff>
    </xdr:from>
    <xdr:to>
      <xdr:col>8</xdr:col>
      <xdr:colOff>1662907</xdr:colOff>
      <xdr:row>9</xdr:row>
      <xdr:rowOff>62041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3 Rectángulo">
              <a:extLst>
                <a:ext uri="{FF2B5EF4-FFF2-40B4-BE49-F238E27FC236}">
                  <a16:creationId xmlns:a16="http://schemas.microsoft.com/office/drawing/2014/main" id="{1A9F3407-64CA-4DF6-95C2-473F0777A5D9}"/>
                </a:ext>
              </a:extLst>
            </xdr:cNvPr>
            <xdr:cNvSpPr/>
          </xdr:nvSpPr>
          <xdr:spPr>
            <a:xfrm>
              <a:off x="2853532" y="932656"/>
              <a:ext cx="4683125" cy="843885"/>
            </a:xfrm>
            <a:prstGeom prst="rect">
              <a:avLst/>
            </a:prstGeom>
            <a:solidFill>
              <a:srgbClr val="FFC000"/>
            </a:solidFill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14:m>
                <m:oMathPara xmlns:m="http://schemas.openxmlformats.org/officeDocument/2006/math">
                  <m:oMath>
                    <m:r>
                      <a:rPr lang="en-US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𝑆𝑠</m:t>
                    </m:r>
                    <m:r>
                      <a:rPr lang="es-AR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𝑍</m:t>
                        </m:r>
                      </m:e>
                      <m:sub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𝛼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es-AR" sz="240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𝐿</m:t>
                                </m:r>
                              </m:sub>
                            </m:s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+</m:t>
                            </m:r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e>
                        </m:d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𝐿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8" name="3 Rectángulo">
              <a:extLst>
                <a:ext uri="{FF2B5EF4-FFF2-40B4-BE49-F238E27FC236}">
                  <a16:creationId xmlns:a16="http://schemas.microsoft.com/office/drawing/2014/main" id="{1A9F3407-64CA-4DF6-95C2-473F0777A5D9}"/>
                </a:ext>
              </a:extLst>
            </xdr:cNvPr>
            <xdr:cNvSpPr/>
          </xdr:nvSpPr>
          <xdr:spPr>
            <a:xfrm>
              <a:off x="2853532" y="932656"/>
              <a:ext cx="4683125" cy="843885"/>
            </a:xfrm>
            <a:prstGeom prst="rect">
              <a:avLst/>
            </a:prstGeom>
            <a:solidFill>
              <a:srgbClr val="FFC000"/>
            </a:solidFill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:r>
                <a:rPr lang="en-US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𝑆𝑠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=</a:t>
              </a:r>
              <a:r>
                <a:rPr lang="es-AR" sz="2400" b="0" i="0">
                  <a:ln>
                    <a:noFill/>
                  </a:ln>
                  <a:solidFill>
                    <a:srgbClr val="00206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𝑍_𝛼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s-AR" sz="240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√((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𝐿+𝑅)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𝑑^2+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𝐿^2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𝑑^2 )</a:t>
              </a:r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0C99-56E9-40DF-89AB-1714F7401B9D}">
  <dimension ref="A3:J44"/>
  <sheetViews>
    <sheetView tabSelected="1" topLeftCell="B1" zoomScale="240" zoomScaleNormal="240" workbookViewId="0">
      <selection activeCell="I13" sqref="I13"/>
    </sheetView>
  </sheetViews>
  <sheetFormatPr baseColWidth="10" defaultRowHeight="15" x14ac:dyDescent="0.25"/>
  <cols>
    <col min="3" max="3" width="2.5703125" customWidth="1"/>
    <col min="4" max="4" width="12.28515625" customWidth="1"/>
    <col min="5" max="5" width="13" bestFit="1" customWidth="1"/>
    <col min="6" max="6" width="14.5703125" customWidth="1"/>
    <col min="9" max="9" width="43.42578125" customWidth="1"/>
  </cols>
  <sheetData>
    <row r="3" spans="1:9" x14ac:dyDescent="0.25">
      <c r="A3" s="1">
        <v>45658</v>
      </c>
      <c r="B3">
        <v>50</v>
      </c>
      <c r="D3" t="s">
        <v>0</v>
      </c>
      <c r="E3">
        <f>+AVERAGE(B3:B15)</f>
        <v>81.538461538461533</v>
      </c>
    </row>
    <row r="4" spans="1:9" x14ac:dyDescent="0.25">
      <c r="A4" s="1">
        <v>45689</v>
      </c>
      <c r="B4">
        <v>60</v>
      </c>
      <c r="D4" t="s">
        <v>1</v>
      </c>
      <c r="E4" s="5">
        <f>+_xlfn.STDEV.S(B3:B15)</f>
        <v>25.770187506158425</v>
      </c>
    </row>
    <row r="5" spans="1:9" x14ac:dyDescent="0.25">
      <c r="A5" s="1">
        <v>45717</v>
      </c>
      <c r="B5">
        <v>70</v>
      </c>
    </row>
    <row r="6" spans="1:9" x14ac:dyDescent="0.25">
      <c r="A6" s="1">
        <v>45748</v>
      </c>
      <c r="B6">
        <v>80</v>
      </c>
      <c r="D6" t="s">
        <v>2</v>
      </c>
      <c r="E6" s="4">
        <v>0.99</v>
      </c>
    </row>
    <row r="7" spans="1:9" x14ac:dyDescent="0.25">
      <c r="A7" s="1">
        <v>45778</v>
      </c>
      <c r="B7">
        <v>90</v>
      </c>
    </row>
    <row r="8" spans="1:9" x14ac:dyDescent="0.25">
      <c r="A8" s="1">
        <v>45809</v>
      </c>
      <c r="B8">
        <v>50</v>
      </c>
      <c r="D8" t="s">
        <v>3</v>
      </c>
      <c r="E8" s="6">
        <f>+NORMSINV(E6)</f>
        <v>2.3263478740408408</v>
      </c>
      <c r="F8" s="3" t="s">
        <v>4</v>
      </c>
    </row>
    <row r="9" spans="1:9" x14ac:dyDescent="0.25">
      <c r="A9" s="1">
        <v>45839</v>
      </c>
      <c r="B9">
        <v>70</v>
      </c>
    </row>
    <row r="10" spans="1:9" x14ac:dyDescent="0.25">
      <c r="A10" s="1">
        <v>45870</v>
      </c>
      <c r="B10">
        <v>80</v>
      </c>
      <c r="D10" t="s">
        <v>5</v>
      </c>
      <c r="E10" s="9">
        <v>40</v>
      </c>
      <c r="F10" t="s">
        <v>6</v>
      </c>
    </row>
    <row r="11" spans="1:9" x14ac:dyDescent="0.25">
      <c r="A11" s="1">
        <v>45901</v>
      </c>
      <c r="B11">
        <v>90</v>
      </c>
      <c r="D11" t="s">
        <v>5</v>
      </c>
      <c r="E11" s="5">
        <f>(E10+0.5)/30</f>
        <v>1.35</v>
      </c>
      <c r="F11" t="s">
        <v>7</v>
      </c>
      <c r="G11" s="8" t="s">
        <v>10</v>
      </c>
    </row>
    <row r="12" spans="1:9" x14ac:dyDescent="0.25">
      <c r="A12" s="1">
        <v>45931</v>
      </c>
      <c r="B12">
        <v>110</v>
      </c>
      <c r="D12" s="13" t="s">
        <v>43</v>
      </c>
      <c r="E12" s="13">
        <v>1.6</v>
      </c>
      <c r="F12" t="s">
        <v>6</v>
      </c>
    </row>
    <row r="13" spans="1:9" x14ac:dyDescent="0.25">
      <c r="A13" s="1">
        <v>45962</v>
      </c>
      <c r="B13">
        <v>60</v>
      </c>
      <c r="D13" t="s">
        <v>8</v>
      </c>
      <c r="E13">
        <f>+E8*E4*SQRT(E11)</f>
        <v>69.656094544741904</v>
      </c>
      <c r="F13" s="7" t="s">
        <v>9</v>
      </c>
      <c r="H13">
        <f>+E8*SQRT((E11*E4^2)+(E12/30)^2*(E3^2))</f>
        <v>70.38691444476774</v>
      </c>
      <c r="I13" s="3" t="s">
        <v>44</v>
      </c>
    </row>
    <row r="14" spans="1:9" x14ac:dyDescent="0.25">
      <c r="A14" s="1">
        <v>45992</v>
      </c>
      <c r="B14">
        <v>120</v>
      </c>
      <c r="D14" t="s">
        <v>11</v>
      </c>
      <c r="E14" s="9">
        <f>+E13/E3*30</f>
        <v>25.628185728725796</v>
      </c>
      <c r="F14" t="s">
        <v>6</v>
      </c>
    </row>
    <row r="15" spans="1:9" x14ac:dyDescent="0.25">
      <c r="A15" s="1">
        <v>46023</v>
      </c>
      <c r="B15">
        <v>130</v>
      </c>
      <c r="D15" t="s">
        <v>12</v>
      </c>
      <c r="E15">
        <f>+E14+E10</f>
        <v>65.628185728725796</v>
      </c>
      <c r="F15" t="s">
        <v>6</v>
      </c>
    </row>
    <row r="17" spans="4:10" x14ac:dyDescent="0.25">
      <c r="D17" t="s">
        <v>13</v>
      </c>
      <c r="E17" s="9">
        <f>+E14+E10/2</f>
        <v>45.628185728725796</v>
      </c>
      <c r="F17" t="s">
        <v>6</v>
      </c>
      <c r="G17" s="3" t="s">
        <v>14</v>
      </c>
    </row>
    <row r="19" spans="4:10" x14ac:dyDescent="0.25">
      <c r="D19" t="s">
        <v>15</v>
      </c>
    </row>
    <row r="20" spans="4:10" x14ac:dyDescent="0.25">
      <c r="D20" t="s">
        <v>16</v>
      </c>
    </row>
    <row r="21" spans="4:10" x14ac:dyDescent="0.25">
      <c r="D21" t="s">
        <v>17</v>
      </c>
    </row>
    <row r="22" spans="4:10" x14ac:dyDescent="0.25">
      <c r="D22" t="s">
        <v>30</v>
      </c>
    </row>
    <row r="24" spans="4:10" x14ac:dyDescent="0.25">
      <c r="E24" t="s">
        <v>18</v>
      </c>
      <c r="F24" t="s">
        <v>19</v>
      </c>
      <c r="G24" t="s">
        <v>20</v>
      </c>
      <c r="H24" t="s">
        <v>21</v>
      </c>
      <c r="J24" t="s">
        <v>29</v>
      </c>
    </row>
    <row r="25" spans="4:10" x14ac:dyDescent="0.25">
      <c r="D25" t="s">
        <v>22</v>
      </c>
      <c r="E25">
        <v>100</v>
      </c>
      <c r="F25">
        <v>80</v>
      </c>
      <c r="G25">
        <v>60</v>
      </c>
      <c r="H25">
        <f>+E25-F25+G25</f>
        <v>80</v>
      </c>
    </row>
    <row r="26" spans="4:10" x14ac:dyDescent="0.25">
      <c r="D26" t="s">
        <v>23</v>
      </c>
      <c r="E26">
        <f>+H25</f>
        <v>80</v>
      </c>
      <c r="F26">
        <v>60</v>
      </c>
      <c r="G26">
        <v>50</v>
      </c>
      <c r="H26">
        <f>+E26-F26+G26</f>
        <v>70</v>
      </c>
    </row>
    <row r="27" spans="4:10" x14ac:dyDescent="0.25">
      <c r="D27" t="s">
        <v>24</v>
      </c>
      <c r="E27">
        <f>+H26</f>
        <v>70</v>
      </c>
      <c r="F27" s="11">
        <v>80</v>
      </c>
      <c r="G27">
        <f>MAX(0,ROUNDUP((J27-E27+F27)/100,0)*100)</f>
        <v>200</v>
      </c>
      <c r="H27">
        <f>+E27-F27+G27</f>
        <v>190</v>
      </c>
      <c r="I27" s="3" t="s">
        <v>31</v>
      </c>
      <c r="J27">
        <f>+F27/30*$E$17</f>
        <v>121.67516194326879</v>
      </c>
    </row>
    <row r="28" spans="4:10" x14ac:dyDescent="0.25">
      <c r="D28" t="s">
        <v>25</v>
      </c>
      <c r="E28">
        <f t="shared" ref="E28:E31" si="0">+H27</f>
        <v>190</v>
      </c>
      <c r="F28" s="10">
        <v>120</v>
      </c>
      <c r="G28">
        <f t="shared" ref="G28:G31" si="1">MAX(0,ROUNDUP((J28-E28+F28)/100,0)*100)</f>
        <v>200</v>
      </c>
      <c r="H28">
        <f t="shared" ref="H28:H31" si="2">+E28-F28+G28</f>
        <v>270</v>
      </c>
      <c r="J28">
        <f>+F28/30*$E$17</f>
        <v>182.51274291490319</v>
      </c>
    </row>
    <row r="29" spans="4:10" x14ac:dyDescent="0.25">
      <c r="D29" t="s">
        <v>26</v>
      </c>
      <c r="E29">
        <f t="shared" si="0"/>
        <v>270</v>
      </c>
      <c r="F29" s="10">
        <v>70</v>
      </c>
      <c r="G29">
        <f t="shared" si="1"/>
        <v>0</v>
      </c>
      <c r="H29">
        <f t="shared" si="2"/>
        <v>200</v>
      </c>
      <c r="I29" s="3" t="s">
        <v>32</v>
      </c>
      <c r="J29">
        <f>+F29/30*$E$17</f>
        <v>106.46576670036019</v>
      </c>
    </row>
    <row r="30" spans="4:10" x14ac:dyDescent="0.25">
      <c r="D30" t="s">
        <v>27</v>
      </c>
      <c r="E30">
        <f t="shared" si="0"/>
        <v>200</v>
      </c>
      <c r="F30" s="10">
        <v>60</v>
      </c>
      <c r="G30">
        <f t="shared" si="1"/>
        <v>0</v>
      </c>
      <c r="H30">
        <f t="shared" si="2"/>
        <v>140</v>
      </c>
      <c r="J30">
        <f>+F30/30*$E$17</f>
        <v>91.256371457451593</v>
      </c>
    </row>
    <row r="31" spans="4:10" x14ac:dyDescent="0.25">
      <c r="D31" t="s">
        <v>28</v>
      </c>
      <c r="E31">
        <f t="shared" si="0"/>
        <v>140</v>
      </c>
      <c r="F31" s="10">
        <v>140</v>
      </c>
      <c r="G31">
        <f t="shared" si="1"/>
        <v>300</v>
      </c>
      <c r="H31">
        <f t="shared" si="2"/>
        <v>300</v>
      </c>
      <c r="J31">
        <f>+F31/30*$E$17</f>
        <v>212.93153340072038</v>
      </c>
    </row>
    <row r="35" spans="4:7" x14ac:dyDescent="0.25">
      <c r="D35" t="s">
        <v>33</v>
      </c>
    </row>
    <row r="37" spans="4:7" x14ac:dyDescent="0.25">
      <c r="E37" t="s">
        <v>34</v>
      </c>
      <c r="F37" s="5">
        <v>30</v>
      </c>
      <c r="G37" t="s">
        <v>35</v>
      </c>
    </row>
    <row r="38" spans="4:7" x14ac:dyDescent="0.25">
      <c r="E38" t="s">
        <v>36</v>
      </c>
      <c r="F38">
        <v>40</v>
      </c>
    </row>
    <row r="39" spans="4:7" x14ac:dyDescent="0.25">
      <c r="E39" t="s">
        <v>37</v>
      </c>
      <c r="F39" s="5">
        <v>3</v>
      </c>
    </row>
    <row r="40" spans="4:7" x14ac:dyDescent="0.25">
      <c r="E40" t="s">
        <v>38</v>
      </c>
      <c r="F40" s="2">
        <v>0.99</v>
      </c>
    </row>
    <row r="41" spans="4:7" x14ac:dyDescent="0.25">
      <c r="E41" t="s">
        <v>39</v>
      </c>
      <c r="F41" s="6">
        <f>+E8</f>
        <v>2.3263478740408408</v>
      </c>
    </row>
    <row r="43" spans="4:7" x14ac:dyDescent="0.25">
      <c r="E43" t="s">
        <v>41</v>
      </c>
      <c r="F43">
        <f>+F37*F39*F41</f>
        <v>209.37130866367568</v>
      </c>
      <c r="G43" s="3" t="s">
        <v>40</v>
      </c>
    </row>
    <row r="44" spans="4:7" x14ac:dyDescent="0.25">
      <c r="E44" t="s">
        <v>42</v>
      </c>
      <c r="F44" s="12">
        <f>+F43/F37</f>
        <v>6.9790436221225223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Najera</dc:creator>
  <cp:lastModifiedBy>Santiago Najera</cp:lastModifiedBy>
  <dcterms:created xsi:type="dcterms:W3CDTF">2026-07-01T13:25:31Z</dcterms:created>
  <dcterms:modified xsi:type="dcterms:W3CDTF">2026-07-01T16:42:28Z</dcterms:modified>
</cp:coreProperties>
</file>