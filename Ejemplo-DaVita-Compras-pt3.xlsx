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-SNAJERA\descargas\"/>
    </mc:Choice>
  </mc:AlternateContent>
  <xr:revisionPtr revIDLastSave="0" documentId="8_{26390FFA-02AA-4612-A3E7-647E5A898EA0}" xr6:coauthVersionLast="47" xr6:coauthVersionMax="47" xr10:uidLastSave="{00000000-0000-0000-0000-000000000000}"/>
  <bookViews>
    <workbookView xWindow="-120" yWindow="-120" windowWidth="29040" windowHeight="15840" activeTab="6" xr2:uid="{076C7875-3647-4B12-B023-4D814138B2CC}"/>
  </bookViews>
  <sheets>
    <sheet name="Hoja1" sheetId="1" r:id="rId1"/>
    <sheet name="Hoja1 (2)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7" l="1"/>
  <c r="D16" i="7"/>
  <c r="E15" i="7"/>
  <c r="D15" i="7"/>
  <c r="E13" i="7"/>
  <c r="E14" i="7" s="1"/>
  <c r="D14" i="7"/>
  <c r="D13" i="7"/>
  <c r="F7" i="6"/>
  <c r="F11" i="6" s="1"/>
  <c r="F9" i="6"/>
  <c r="E11" i="6"/>
  <c r="E9" i="6"/>
  <c r="E7" i="6"/>
  <c r="E17" i="4"/>
  <c r="E18" i="4"/>
  <c r="E19" i="4"/>
  <c r="E20" i="4"/>
  <c r="E21" i="4"/>
  <c r="E22" i="4"/>
  <c r="E23" i="4"/>
  <c r="E24" i="4"/>
  <c r="E25" i="4"/>
  <c r="E16" i="4"/>
  <c r="D17" i="4"/>
  <c r="D18" i="4"/>
  <c r="D19" i="4"/>
  <c r="D20" i="4"/>
  <c r="D21" i="4"/>
  <c r="D22" i="4"/>
  <c r="D23" i="4"/>
  <c r="D24" i="4"/>
  <c r="D25" i="4"/>
  <c r="D16" i="4"/>
  <c r="C16" i="4"/>
  <c r="C17" i="4"/>
  <c r="C18" i="4"/>
  <c r="C19" i="4"/>
  <c r="C20" i="4"/>
  <c r="C21" i="4"/>
  <c r="C22" i="4"/>
  <c r="C23" i="4"/>
  <c r="C24" i="4"/>
  <c r="C25" i="4"/>
  <c r="B17" i="4"/>
  <c r="B18" i="4"/>
  <c r="B19" i="4"/>
  <c r="B20" i="4"/>
  <c r="B21" i="4"/>
  <c r="B22" i="4"/>
  <c r="B23" i="4"/>
  <c r="B24" i="4"/>
  <c r="B25" i="4"/>
  <c r="B16" i="4"/>
  <c r="E3" i="2"/>
  <c r="H3" i="2" a="1"/>
  <c r="B19" i="3" s="1" a="1"/>
  <c r="C19" i="3" s="1" a="1"/>
  <c r="H25" i="2"/>
  <c r="E26" i="2" s="1"/>
  <c r="H26" i="2" s="1"/>
  <c r="E27" i="2" s="1"/>
  <c r="E11" i="2"/>
  <c r="E8" i="2"/>
  <c r="E4" i="2"/>
  <c r="H13" i="1"/>
  <c r="F44" i="1"/>
  <c r="F43" i="1"/>
  <c r="F41" i="1"/>
  <c r="G28" i="1"/>
  <c r="G27" i="1"/>
  <c r="J30" i="1"/>
  <c r="J31" i="1"/>
  <c r="J29" i="1"/>
  <c r="J28" i="1"/>
  <c r="J27" i="1"/>
  <c r="E27" i="1"/>
  <c r="H26" i="1"/>
  <c r="E26" i="1"/>
  <c r="H25" i="1"/>
  <c r="E17" i="1"/>
  <c r="E15" i="1"/>
  <c r="E14" i="1"/>
  <c r="E11" i="1"/>
  <c r="E13" i="1" s="1"/>
  <c r="E8" i="1"/>
  <c r="E4" i="1"/>
  <c r="E3" i="1"/>
  <c r="B20" i="3" l="1" a="1"/>
  <c r="C20" i="3" s="1" a="1"/>
  <c r="E4" i="5" s="1" a="1"/>
  <c r="H4" i="2"/>
  <c r="E13" i="2"/>
  <c r="E14" i="2" s="1"/>
  <c r="F41" i="2"/>
  <c r="F43" i="2" s="1"/>
  <c r="F44" i="2" s="1"/>
  <c r="H13" i="2"/>
  <c r="H27" i="1"/>
  <c r="E28" i="1" s="1"/>
  <c r="H28" i="1" s="1"/>
  <c r="E29" i="1" s="1"/>
  <c r="G29" i="1" s="1"/>
  <c r="E15" i="2" l="1"/>
  <c r="E17" i="2"/>
  <c r="H29" i="1"/>
  <c r="E30" i="1" s="1"/>
  <c r="G30" i="1" s="1"/>
  <c r="H30" i="1" s="1"/>
  <c r="E31" i="1" s="1"/>
  <c r="G31" i="1" s="1"/>
  <c r="J27" i="2" l="1"/>
  <c r="G27" i="2" s="1"/>
  <c r="H27" i="2" s="1"/>
  <c r="E28" i="2" s="1"/>
  <c r="J31" i="2"/>
  <c r="J28" i="2"/>
  <c r="J29" i="2"/>
  <c r="J30" i="2"/>
  <c r="H31" i="1"/>
  <c r="G28" i="2" l="1"/>
  <c r="H28" i="2" s="1"/>
  <c r="E29" i="2" s="1"/>
  <c r="G29" i="2" l="1"/>
  <c r="H29" i="2" s="1"/>
  <c r="E30" i="2" s="1"/>
  <c r="G30" i="2" l="1"/>
  <c r="H30" i="2" s="1"/>
  <c r="E31" i="2" s="1"/>
  <c r="G31" i="2" l="1"/>
  <c r="H3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#Ejemplo Uso inicial
x=xl(%P2%)
y=xl(%P3%)
x+y
</code>
    </pythonScript>
    <pythonScript>
      <code>from scipy.stats import norm
# ===== PARÁMETROS: ajusta estos rangos si tus datos cambian de posición =====
rango_demanda = xl(%P2%)                  # Histórico de demanda (mensual)
nivel_servicio = xl(%P3%)                     # Ej: 0.95 para 95%%
lead_time_prom = xl(%P4%)                     # Lead time promedio (en días)
R = 0.5                                       # Período de revisión (mismas unidades que lead time, en días)
# ===== CÁLCULOS =====
demanda = rango_demanda.iloc[:, 0]            # Columna de demanda como serie
sigma_d = float(demanda.std())                # Desviación estándar de la demanda (escalar)
mu_d    = float(demanda.mean())               # Demanda promedio (escalar)
z = float(norm.ppf(float(nivel_servicio)))    # Valor Z según el nivel de servicio
# Lead time ajustado: (lead time + R) convertido de días a meses
lead_time_ajustado_meses = (float(lead_time_prom) + R) / 30
# Fórmula reducida: Ss = Z * σd * sqrt(lead time ajustado en meses)
stock_seguridad = z * sigma_d * (lead_time_ajustado_meses ** 0.5)
round(stock_seguridad, 2)</code>
    </pythonScript>
    <pythonScript>
      <code>from scipy.stats import norm
# ===== PARÁMETROS: ajusta estos rangos si tus datos cambian de posición =====
rango_demanda = xl(%P2%)                  # Histórico de demanda (mensual)
nivel_servicio = xl(%P3%)                     # Ej: 0.95 para 95%%
lead_time_prom = xl(%P4%)                     # Lead time promedio (en días)
R = 0.5                                       # Período de revisión (mismas unidades que lead time, en días)
# ===== CÁLCULOS =====
demanda = rango_demanda.iloc[:, 0]            # Columna de demanda como serie
sigma_d = float(demanda.std())                # Desviación estándar de la demanda (escalar)
mu_d    = float(demanda.mean())               # Demanda promedio (escalar)
z = float(norm.ppf(float(nivel_servicio)))    # Valor Z según el nivel de servicio
# Lead time ajustado: (lead time + R) convertido de días a meses
lead_time_ajustado_meses = (float(lead_time_prom) + R) / 30
# Fórmula reducida: Ss = Z * σd * sqrt(lead time ajustado en meses) -&gt; resultado en unidades/mes
stock_seguridad_unidades = z * sigma_d * (lead_time_ajustado_meses ** 0.5)
# Conversión a días: (Ss en unidades / demanda promedio mensual) * 30
stock_seguridad_dias = (stock_seguridad_unidades / mu_d) * 30
round(stock_seguridad_dias, 2)</code>
    </pythonScript>
    <pythonScript>
      <code>import pandas as pd
import numpy as np
from sklearn.preprocessing import StandardScaler
from sklearn.cluster import KMeans
f"A1:D21", headers = Trueport silhouette_score
# 1. Leer los datos (se expande solo al agregar filas o columnas)
df = xl(%P2%, headers = True)
# 2. Limpiar nombres de columnas
df.columns = [str(c) for c in df.columns]
# 3. Seleccionar columnas numéricas
cols_num = list(df.select_dtypes(include=[np.number]).columns)
# 4. Matriz numérica
X = df[cols_num].to_numpy()
# 5. Normalizar
scaler = StandardScaler()
X_norm = scaler.fit_transform(X)
# 6. Determinar k óptimo
n = X_norm.shape[0]
k_max = max(2, min(10, n - 1))
scores = {}
for k in range(2, k_max + 1):
    km = KMeans(n_clusters=k, n_init=10, random_state=42)
    labels = km.fit_predict(X_norm)
    scores[int(k)] = float(silhouette_score(X_norm, labels))
k_optimo = max(scores, key=scores.get)
# 7. Clustering final
km_final = KMeans(n_clusters=k_optimo, n_init=10, random_state=42)
df_resultado = df.copy()
df_resultado["Cluster"] = km_final.fit_predict(X_norm)
df_resultado</code>
    </pythonScript>
  </pythonScripts>
</python>
</file>

<file path=xl/sharedStrings.xml><?xml version="1.0" encoding="utf-8"?>
<sst xmlns="http://schemas.openxmlformats.org/spreadsheetml/2006/main" count="178" uniqueCount="88">
  <si>
    <t>Promedio</t>
  </si>
  <si>
    <t>Desv. STd</t>
  </si>
  <si>
    <t>Nivel de Serv</t>
  </si>
  <si>
    <t>Factor N.Ser</t>
  </si>
  <si>
    <t>=DISTR.NORM.ESTAND.INV(E6)</t>
  </si>
  <si>
    <t>Lead Time</t>
  </si>
  <si>
    <t>días</t>
  </si>
  <si>
    <t>meses</t>
  </si>
  <si>
    <t>Stock Seg</t>
  </si>
  <si>
    <t>=+E8*E4*RAIZ(E11)</t>
  </si>
  <si>
    <t>=(E10+0,5)/30</t>
  </si>
  <si>
    <t>S.Seg días</t>
  </si>
  <si>
    <t>Techo días</t>
  </si>
  <si>
    <t>Optimo</t>
  </si>
  <si>
    <t>=+E14+E10/2</t>
  </si>
  <si>
    <t>S.Final = S.Inicial - Consumo + Compra</t>
  </si>
  <si>
    <t>S.Final → Inventario Optimo</t>
  </si>
  <si>
    <t>Inv. Optimo = S. Inicial - Consumo +Compra</t>
  </si>
  <si>
    <t>S. Inicial</t>
  </si>
  <si>
    <t>Consumo</t>
  </si>
  <si>
    <t>Compras</t>
  </si>
  <si>
    <t>S. Final</t>
  </si>
  <si>
    <t>Mes 1</t>
  </si>
  <si>
    <t>Mes 2</t>
  </si>
  <si>
    <t>Mes 3</t>
  </si>
  <si>
    <t>Mes 4</t>
  </si>
  <si>
    <t>Mes 5</t>
  </si>
  <si>
    <t>Mes 6</t>
  </si>
  <si>
    <t>Mes 7</t>
  </si>
  <si>
    <t>Inv. Opt</t>
  </si>
  <si>
    <t>In.Opt-S.Inicial + Consumo = Compra</t>
  </si>
  <si>
    <t>=REDONDEAR.MAS((J27-E27+F27)/100;0)*100</t>
  </si>
  <si>
    <t>=MAX(0;REDONDEAR.MAS((J29-E29+F29)/100;0)*100)</t>
  </si>
  <si>
    <t>Prod. Limp. Pisos</t>
  </si>
  <si>
    <t>Consumo día</t>
  </si>
  <si>
    <t>litros día</t>
  </si>
  <si>
    <t>Lt. pro</t>
  </si>
  <si>
    <t>desv Lt.</t>
  </si>
  <si>
    <t>N.Serv</t>
  </si>
  <si>
    <t>Facto N.Ser</t>
  </si>
  <si>
    <t>=+F37*F39*F41</t>
  </si>
  <si>
    <t>Stock Seg uni.</t>
  </si>
  <si>
    <t>Stock Seg. Días</t>
  </si>
  <si>
    <t>Desv. Lt</t>
  </si>
  <si>
    <t>=+E8*RAIZ((E11*E4^2)+(E12/30)^2*(E3^2))</t>
  </si>
  <si>
    <t>N. Servicio</t>
  </si>
  <si>
    <t>Stock Seg. =</t>
  </si>
  <si>
    <t>Stock Seg días</t>
  </si>
  <si>
    <t>SKU</t>
  </si>
  <si>
    <t>SKU-01</t>
  </si>
  <si>
    <t>SKU-02</t>
  </si>
  <si>
    <t>SKU-03</t>
  </si>
  <si>
    <t>SKU-04</t>
  </si>
  <si>
    <t>SKU-05</t>
  </si>
  <si>
    <t>SKU-06</t>
  </si>
  <si>
    <t>SKU-07</t>
  </si>
  <si>
    <t>SKU-08</t>
  </si>
  <si>
    <t>SKU-09</t>
  </si>
  <si>
    <t>SKU-10</t>
  </si>
  <si>
    <t>Frec</t>
  </si>
  <si>
    <t>Monto</t>
  </si>
  <si>
    <t>=+(B2-MIN(B$2:B$11))/(MAX(B$2:B$11)-MIN(B$2:B$11))</t>
  </si>
  <si>
    <t>Cluster 1</t>
  </si>
  <si>
    <t>Cluster 2</t>
  </si>
  <si>
    <t>=+RAIZ((B16-$B$23)^2+(C16-$C$23)^2)</t>
  </si>
  <si>
    <t>C1</t>
  </si>
  <si>
    <t>C2</t>
  </si>
  <si>
    <t>SKU-11</t>
  </si>
  <si>
    <t>SKU-12</t>
  </si>
  <si>
    <t>SKU-13</t>
  </si>
  <si>
    <t>SKU-14</t>
  </si>
  <si>
    <t>SKU-15</t>
  </si>
  <si>
    <t>SKU-16</t>
  </si>
  <si>
    <t>SKU-17</t>
  </si>
  <si>
    <t>SKU-18</t>
  </si>
  <si>
    <t>SKU-19</t>
  </si>
  <si>
    <t>SKU-20</t>
  </si>
  <si>
    <t>Origen</t>
  </si>
  <si>
    <t>LT</t>
  </si>
  <si>
    <t>Cantidad</t>
  </si>
  <si>
    <t>Precio</t>
  </si>
  <si>
    <t>Ciclo</t>
  </si>
  <si>
    <t>Cst.Mt</t>
  </si>
  <si>
    <t>Cst Annual</t>
  </si>
  <si>
    <t>Prom</t>
  </si>
  <si>
    <t>Desv</t>
  </si>
  <si>
    <t>Coef Var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</si>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</sst>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_ [$$-300A]* #,##0_ ;_ [$$-300A]* \-#,##0_ ;_ [$$-300A]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7" fontId="0" fillId="0" borderId="0" xfId="0" applyNumberFormat="1"/>
    <xf numFmtId="9" fontId="0" fillId="0" borderId="0" xfId="0" applyNumberFormat="1"/>
    <xf numFmtId="0" fontId="0" fillId="0" borderId="0" xfId="0" quotePrefix="1"/>
    <xf numFmtId="165" fontId="0" fillId="0" borderId="0" xfId="0" applyNumberFormat="1"/>
    <xf numFmtId="10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2" borderId="0" xfId="0" quotePrefix="1" applyFill="1"/>
    <xf numFmtId="0" fontId="2" fillId="0" borderId="0" xfId="0" quotePrefix="1" applyFont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2" fontId="0" fillId="0" borderId="0" xfId="0" applyNumberFormat="1"/>
    <xf numFmtId="0" fontId="0" fillId="6" borderId="0" xfId="0" applyFill="1"/>
    <xf numFmtId="0" fontId="0" fillId="7" borderId="0" xfId="0" applyFill="1"/>
    <xf numFmtId="166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Hoja4!$C$1</c:f>
              <c:strCache>
                <c:ptCount val="1"/>
                <c:pt idx="0">
                  <c:v>Monto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Hoja4!$B$2:$B$11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</c:numCache>
            </c:numRef>
          </c:xVal>
          <c:yVal>
            <c:numRef>
              <c:f>Hoja4!$C$2:$C$11</c:f>
              <c:numCache>
                <c:formatCode>General</c:formatCode>
                <c:ptCount val="10"/>
                <c:pt idx="0">
                  <c:v>800</c:v>
                </c:pt>
                <c:pt idx="1">
                  <c:v>1200</c:v>
                </c:pt>
                <c:pt idx="2">
                  <c:v>1500</c:v>
                </c:pt>
                <c:pt idx="3">
                  <c:v>2000</c:v>
                </c:pt>
                <c:pt idx="4">
                  <c:v>12000</c:v>
                </c:pt>
                <c:pt idx="5">
                  <c:v>1500</c:v>
                </c:pt>
                <c:pt idx="6">
                  <c:v>800</c:v>
                </c:pt>
                <c:pt idx="7">
                  <c:v>45000</c:v>
                </c:pt>
                <c:pt idx="8">
                  <c:v>2300</c:v>
                </c:pt>
                <c:pt idx="9">
                  <c:v>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81-4C41-93D0-2D67D4061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77039"/>
        <c:axId val="1682318783"/>
      </c:scatterChart>
      <c:valAx>
        <c:axId val="14177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82318783"/>
        <c:crosses val="autoZero"/>
        <c:crossBetween val="midCat"/>
      </c:valAx>
      <c:valAx>
        <c:axId val="168231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177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Hoja7!$C$1:$C$12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Hoja7!$D$1:$D$12</c:f>
              <c:numCache>
                <c:formatCode>General</c:formatCode>
                <c:ptCount val="12"/>
                <c:pt idx="0">
                  <c:v>98</c:v>
                </c:pt>
                <c:pt idx="1">
                  <c:v>95</c:v>
                </c:pt>
                <c:pt idx="2">
                  <c:v>102</c:v>
                </c:pt>
                <c:pt idx="3">
                  <c:v>103</c:v>
                </c:pt>
                <c:pt idx="4">
                  <c:v>102</c:v>
                </c:pt>
                <c:pt idx="5">
                  <c:v>100</c:v>
                </c:pt>
                <c:pt idx="6">
                  <c:v>98</c:v>
                </c:pt>
                <c:pt idx="7">
                  <c:v>99</c:v>
                </c:pt>
                <c:pt idx="8">
                  <c:v>103</c:v>
                </c:pt>
                <c:pt idx="9">
                  <c:v>100</c:v>
                </c:pt>
                <c:pt idx="10">
                  <c:v>95</c:v>
                </c:pt>
                <c:pt idx="11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5-48A5-869A-0BCF7E001B2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Hoja7!$C$1:$C$12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Hoja7!$E$1:$E$12</c:f>
              <c:numCache>
                <c:formatCode>General</c:formatCode>
                <c:ptCount val="12"/>
                <c:pt idx="0">
                  <c:v>300</c:v>
                </c:pt>
                <c:pt idx="1">
                  <c:v>0</c:v>
                </c:pt>
                <c:pt idx="2">
                  <c:v>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300</c:v>
                </c:pt>
                <c:pt idx="7">
                  <c:v>0</c:v>
                </c:pt>
                <c:pt idx="8">
                  <c:v>0</c:v>
                </c:pt>
                <c:pt idx="9">
                  <c:v>150</c:v>
                </c:pt>
                <c:pt idx="10">
                  <c:v>150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15-48A5-869A-0BCF7E001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81215"/>
        <c:axId val="442520895"/>
      </c:lineChart>
      <c:dateAx>
        <c:axId val="141781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42520895"/>
        <c:crosses val="autoZero"/>
        <c:auto val="1"/>
        <c:lblOffset val="100"/>
        <c:baseTimeUnit val="months"/>
      </c:dateAx>
      <c:valAx>
        <c:axId val="44252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178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631031</xdr:colOff>
      <xdr:row>22</xdr:row>
      <xdr:rowOff>0</xdr:rowOff>
    </xdr:from>
    <xdr:to>
      <xdr:col>6</xdr:col>
      <xdr:colOff>95250</xdr:colOff>
      <xdr:row>26</xdr:row>
      <xdr:rowOff>51594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1CC0180-4C22-8B38-20D5-030CDCEA1E72}"/>
            </a:ext>
          </a:extLst>
        </xdr:cNvPr>
        <xdr:cNvCxnSpPr/>
      </xdr:nvCxnSpPr>
      <xdr:spPr>
        <a:xfrm>
          <a:off x="2917031" y="4191000"/>
          <a:ext cx="2575719" cy="8135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587374</xdr:colOff>
      <xdr:row>17</xdr:row>
      <xdr:rowOff>3969</xdr:rowOff>
    </xdr:from>
    <xdr:to>
      <xdr:col>8</xdr:col>
      <xdr:colOff>2176462</xdr:colOff>
      <xdr:row>25</xdr:row>
      <xdr:rowOff>13494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74FE044-EBB5-03CA-CCF9-4AAC79C54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1593" y="3242469"/>
          <a:ext cx="4085432" cy="1533525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3</xdr:col>
      <xdr:colOff>301625</xdr:colOff>
      <xdr:row>44</xdr:row>
      <xdr:rowOff>35717</xdr:rowOff>
    </xdr:from>
    <xdr:to>
      <xdr:col>8</xdr:col>
      <xdr:colOff>805656</xdr:colOff>
      <xdr:row>48</xdr:row>
      <xdr:rowOff>117602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3 Rectángulo">
              <a:extLst>
                <a:ext uri="{FF2B5EF4-FFF2-40B4-BE49-F238E27FC236}">
                  <a16:creationId xmlns:a16="http://schemas.microsoft.com/office/drawing/2014/main" id="{46C90B88-8044-4D8A-82D3-80DEFC53172D}"/>
                </a:ext>
              </a:extLst>
            </xdr:cNvPr>
            <xdr:cNvSpPr/>
          </xdr:nvSpPr>
          <xdr:spPr>
            <a:xfrm>
              <a:off x="1996281" y="8417717"/>
              <a:ext cx="4683125" cy="84388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14:m>
                <m:oMathPara xmlns:m="http://schemas.openxmlformats.org/officeDocument/2006/math">
                  <m:oMath>
                    <m:r>
                      <a:rPr lang="en-US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𝑆𝑠</m:t>
                    </m:r>
                    <m:r>
                      <a:rPr lang="es-AR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𝑍</m:t>
                        </m:r>
                      </m:e>
                      <m:sub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𝛼</m:t>
                        </m:r>
                      </m:sub>
                    </m:sSub>
                    <m:rad>
                      <m:radPr>
                        <m:degHide m:val="on"/>
                        <m:ctrlPr>
                          <a:rPr lang="es-AR" sz="240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radPr>
                      <m:deg/>
                      <m:e>
                        <m:d>
                          <m:d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𝐿</m:t>
                                </m:r>
                              </m:sub>
                            </m:s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+</m:t>
                            </m:r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𝑅</m:t>
                            </m:r>
                          </m:e>
                        </m:d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𝐿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7" name="3 Rectángulo">
              <a:extLst>
                <a:ext uri="{FF2B5EF4-FFF2-40B4-BE49-F238E27FC236}">
                  <a16:creationId xmlns:a16="http://schemas.microsoft.com/office/drawing/2014/main" id="{46C90B88-8044-4D8A-82D3-80DEFC53172D}"/>
                </a:ext>
              </a:extLst>
            </xdr:cNvPr>
            <xdr:cNvSpPr/>
          </xdr:nvSpPr>
          <xdr:spPr>
            <a:xfrm>
              <a:off x="1996281" y="8417717"/>
              <a:ext cx="4683125" cy="84388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:r>
                <a:rPr lang="en-US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𝑆𝑠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=</a:t>
              </a:r>
              <a:r>
                <a:rPr lang="es-AR" sz="2400" b="0" i="0">
                  <a:ln>
                    <a:noFill/>
                  </a:ln>
                  <a:solidFill>
                    <a:srgbClr val="00206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𝑍_𝛼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s-AR" sz="240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√((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𝐿+𝑅)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𝑑^2+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𝐿^2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𝑑^2 )</a:t>
              </a:r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>
    <xdr:from>
      <xdr:col>6</xdr:col>
      <xdr:colOff>130969</xdr:colOff>
      <xdr:row>0</xdr:row>
      <xdr:rowOff>7938</xdr:rowOff>
    </xdr:from>
    <xdr:to>
      <xdr:col>9</xdr:col>
      <xdr:colOff>392906</xdr:colOff>
      <xdr:row>4</xdr:row>
      <xdr:rowOff>89823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3 Rectángulo">
              <a:extLst>
                <a:ext uri="{FF2B5EF4-FFF2-40B4-BE49-F238E27FC236}">
                  <a16:creationId xmlns:a16="http://schemas.microsoft.com/office/drawing/2014/main" id="{1A9F3407-64CA-4DF6-95C2-473F0777A5D9}"/>
                </a:ext>
              </a:extLst>
            </xdr:cNvPr>
            <xdr:cNvSpPr/>
          </xdr:nvSpPr>
          <xdr:spPr>
            <a:xfrm>
              <a:off x="4480719" y="7938"/>
              <a:ext cx="4683125" cy="843885"/>
            </a:xfrm>
            <a:prstGeom prst="rect">
              <a:avLst/>
            </a:prstGeom>
            <a:solidFill>
              <a:srgbClr val="FFC000"/>
            </a:solidFill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14:m>
                <m:oMathPara xmlns:m="http://schemas.openxmlformats.org/officeDocument/2006/math">
                  <m:oMath>
                    <m:r>
                      <a:rPr lang="en-US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𝑆𝑠</m:t>
                    </m:r>
                    <m:r>
                      <a:rPr lang="es-AR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𝑍</m:t>
                        </m:r>
                      </m:e>
                      <m:sub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𝛼</m:t>
                        </m:r>
                      </m:sub>
                    </m:sSub>
                    <m:rad>
                      <m:radPr>
                        <m:degHide m:val="on"/>
                        <m:ctrlPr>
                          <a:rPr lang="es-AR" sz="240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radPr>
                      <m:deg/>
                      <m:e>
                        <m:d>
                          <m:d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𝐿</m:t>
                                </m:r>
                              </m:sub>
                            </m:s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+</m:t>
                            </m:r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𝑅</m:t>
                            </m:r>
                          </m:e>
                        </m:d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𝐿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8" name="3 Rectángulo">
              <a:extLst>
                <a:ext uri="{FF2B5EF4-FFF2-40B4-BE49-F238E27FC236}">
                  <a16:creationId xmlns:a16="http://schemas.microsoft.com/office/drawing/2014/main" id="{1A9F3407-64CA-4DF6-95C2-473F0777A5D9}"/>
                </a:ext>
              </a:extLst>
            </xdr:cNvPr>
            <xdr:cNvSpPr/>
          </xdr:nvSpPr>
          <xdr:spPr>
            <a:xfrm>
              <a:off x="4480719" y="7938"/>
              <a:ext cx="4683125" cy="843885"/>
            </a:xfrm>
            <a:prstGeom prst="rect">
              <a:avLst/>
            </a:prstGeom>
            <a:solidFill>
              <a:srgbClr val="FFC000"/>
            </a:solidFill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:r>
                <a:rPr lang="en-US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𝑆𝑠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=</a:t>
              </a:r>
              <a:r>
                <a:rPr lang="es-AR" sz="2400" b="0" i="0">
                  <a:ln>
                    <a:noFill/>
                  </a:ln>
                  <a:solidFill>
                    <a:srgbClr val="00206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𝑍_𝛼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s-AR" sz="240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√((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𝐿+𝑅)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𝑑^2+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𝐿^2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𝑑^2 )</a:t>
              </a:r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631031</xdr:colOff>
      <xdr:row>22</xdr:row>
      <xdr:rowOff>0</xdr:rowOff>
    </xdr:from>
    <xdr:to>
      <xdr:col>6</xdr:col>
      <xdr:colOff>95250</xdr:colOff>
      <xdr:row>26</xdr:row>
      <xdr:rowOff>51594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D96E2C0-E502-4F2E-9836-988DA1F7BA5D}"/>
            </a:ext>
          </a:extLst>
        </xdr:cNvPr>
        <xdr:cNvCxnSpPr/>
      </xdr:nvCxnSpPr>
      <xdr:spPr>
        <a:xfrm>
          <a:off x="2326481" y="4191000"/>
          <a:ext cx="2121694" cy="8135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587374</xdr:colOff>
      <xdr:row>17</xdr:row>
      <xdr:rowOff>3969</xdr:rowOff>
    </xdr:from>
    <xdr:to>
      <xdr:col>8</xdr:col>
      <xdr:colOff>1966118</xdr:colOff>
      <xdr:row>25</xdr:row>
      <xdr:rowOff>13494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413C66-F8AB-4355-AA46-EE1FCABC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749" y="3242469"/>
          <a:ext cx="4084638" cy="1533525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3</xdr:col>
      <xdr:colOff>301625</xdr:colOff>
      <xdr:row>44</xdr:row>
      <xdr:rowOff>35717</xdr:rowOff>
    </xdr:from>
    <xdr:to>
      <xdr:col>8</xdr:col>
      <xdr:colOff>805656</xdr:colOff>
      <xdr:row>48</xdr:row>
      <xdr:rowOff>117602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3 Rectángulo">
              <a:extLst>
                <a:ext uri="{FF2B5EF4-FFF2-40B4-BE49-F238E27FC236}">
                  <a16:creationId xmlns:a16="http://schemas.microsoft.com/office/drawing/2014/main" id="{99A2184F-3D8E-455D-893A-67FF490673B2}"/>
                </a:ext>
              </a:extLst>
            </xdr:cNvPr>
            <xdr:cNvSpPr/>
          </xdr:nvSpPr>
          <xdr:spPr>
            <a:xfrm>
              <a:off x="1997075" y="8417717"/>
              <a:ext cx="4685506" cy="84388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14:m>
                <m:oMathPara xmlns:m="http://schemas.openxmlformats.org/officeDocument/2006/math">
                  <m:oMath>
                    <m:r>
                      <a:rPr lang="en-US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𝑆𝑠</m:t>
                    </m:r>
                    <m:r>
                      <a:rPr lang="es-AR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𝑍</m:t>
                        </m:r>
                      </m:e>
                      <m:sub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𝛼</m:t>
                        </m:r>
                      </m:sub>
                    </m:sSub>
                    <m:rad>
                      <m:radPr>
                        <m:degHide m:val="on"/>
                        <m:ctrlPr>
                          <a:rPr lang="es-AR" sz="240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radPr>
                      <m:deg/>
                      <m:e>
                        <m:d>
                          <m:d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𝐿</m:t>
                                </m:r>
                              </m:sub>
                            </m:s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+</m:t>
                            </m:r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𝑅</m:t>
                            </m:r>
                          </m:e>
                        </m:d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𝐿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4" name="3 Rectángulo">
              <a:extLst>
                <a:ext uri="{FF2B5EF4-FFF2-40B4-BE49-F238E27FC236}">
                  <a16:creationId xmlns:a16="http://schemas.microsoft.com/office/drawing/2014/main" id="{99A2184F-3D8E-455D-893A-67FF490673B2}"/>
                </a:ext>
              </a:extLst>
            </xdr:cNvPr>
            <xdr:cNvSpPr/>
          </xdr:nvSpPr>
          <xdr:spPr>
            <a:xfrm>
              <a:off x="1997075" y="8417717"/>
              <a:ext cx="4685506" cy="84388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:r>
                <a:rPr lang="en-US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𝑆𝑠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=</a:t>
              </a:r>
              <a:r>
                <a:rPr lang="es-AR" sz="2400" b="0" i="0">
                  <a:ln>
                    <a:noFill/>
                  </a:ln>
                  <a:solidFill>
                    <a:srgbClr val="00206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𝑍_𝛼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s-AR" sz="240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√((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𝐿+𝑅)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𝑑^2+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𝐿^2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𝑑^2 )</a:t>
              </a:r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171016</xdr:colOff>
      <xdr:row>1</xdr:row>
      <xdr:rowOff>47624</xdr:rowOff>
    </xdr:from>
    <xdr:to>
      <xdr:col>9</xdr:col>
      <xdr:colOff>171016</xdr:colOff>
      <xdr:row>10</xdr:row>
      <xdr:rowOff>152831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63A0A9-BCB6-013A-6A19-EEC73C8BC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733985</xdr:colOff>
      <xdr:row>4</xdr:row>
      <xdr:rowOff>85165</xdr:rowOff>
    </xdr:from>
    <xdr:to>
      <xdr:col>11</xdr:col>
      <xdr:colOff>733985</xdr:colOff>
      <xdr:row>18</xdr:row>
      <xdr:rowOff>161365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DA5407-1D53-B292-B677-2AD2142AD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fb>107.30864904461995</fb>
    <v>&lt;class 'float'&gt;</v>
    <v>float</v>
    <v>107.30864904461995</v>
    <v>107.30864904461995</v>
    <v>0</v>
  </rv>
  <rv s="0">
    <fb>69.66</fb>
    <v>&lt;class 'float'&gt;</v>
    <v>float</v>
    <v>69.66</v>
    <v>69.66</v>
    <v>0</v>
  </rv>
  <rv s="0">
    <fb>25.63</fb>
    <v>&lt;class 'float'&gt;</v>
    <v>float</v>
    <v>25.63</v>
    <v>25.63</v>
    <v>0</v>
  </rv>
  <rv s="1">
    <v>81c51cb631d84b31b682de1ada485423</v>
    <v>invalid syntax. Maybe you meant '==' or ':=' instead of '='? (line 5)</v>
    <v>SyntaxError</v>
    <v>18</v>
    <v>1</v>
  </rv>
</rvData>
</file>

<file path=xl/richData/rdrichvaluestructure.xml><?xml version="1.0" encoding="utf-8"?>
<rvStructures xmlns="http://schemas.microsoft.com/office/spreadsheetml/2017/richdata" count="2">
  <s t="_python">
    <k n="Python_type" t="s"/>
    <k n="Python_typeName" t="s"/>
    <k n="Python_str" t="s"/>
    <k n="basicValue"/>
    <k n="_Provider" t="spb"/>
  </s>
  <s t="_error">
    <k n="correlationId" t="s"/>
    <k n="errorMessage" t="s"/>
    <k n="errorName" t="s"/>
    <k n="errorType" t="i"/>
    <k n="subType" t="i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https://res.cdn.office.net/officepysvc/prod-preview/anacondalogo.png</v>
      <v>Python proporcionado por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0C99-56E9-40DF-89AB-1714F7401B9D}">
  <dimension ref="A3:J44"/>
  <sheetViews>
    <sheetView topLeftCell="B8" zoomScale="240" zoomScaleNormal="240" workbookViewId="0">
      <selection activeCell="E13" sqref="E13"/>
    </sheetView>
  </sheetViews>
  <sheetFormatPr baseColWidth="10" defaultRowHeight="15" x14ac:dyDescent="0.25"/>
  <cols>
    <col min="3" max="3" width="2.5703125" customWidth="1"/>
    <col min="4" max="4" width="12.28515625" customWidth="1"/>
    <col min="5" max="5" width="13" bestFit="1" customWidth="1"/>
    <col min="6" max="6" width="14.5703125" customWidth="1"/>
    <col min="9" max="9" width="43.42578125" customWidth="1"/>
  </cols>
  <sheetData>
    <row r="3" spans="1:9" x14ac:dyDescent="0.25">
      <c r="A3" s="1">
        <v>45658</v>
      </c>
      <c r="B3">
        <v>50</v>
      </c>
      <c r="D3" t="s">
        <v>0</v>
      </c>
      <c r="E3">
        <f>+AVERAGE(B3:B15)</f>
        <v>81.538461538461533</v>
      </c>
    </row>
    <row r="4" spans="1:9" x14ac:dyDescent="0.25">
      <c r="A4" s="1">
        <v>45689</v>
      </c>
      <c r="B4">
        <v>60</v>
      </c>
      <c r="D4" t="s">
        <v>1</v>
      </c>
      <c r="E4" s="6">
        <f>+_xlfn.STDEV.S(B3:B15)</f>
        <v>25.770187506158425</v>
      </c>
    </row>
    <row r="5" spans="1:9" x14ac:dyDescent="0.25">
      <c r="A5" s="1">
        <v>45717</v>
      </c>
      <c r="B5">
        <v>70</v>
      </c>
    </row>
    <row r="6" spans="1:9" x14ac:dyDescent="0.25">
      <c r="A6" s="1">
        <v>45748</v>
      </c>
      <c r="B6">
        <v>80</v>
      </c>
      <c r="D6" t="s">
        <v>2</v>
      </c>
      <c r="E6" s="5">
        <v>0.99</v>
      </c>
    </row>
    <row r="7" spans="1:9" x14ac:dyDescent="0.25">
      <c r="A7" s="1">
        <v>45778</v>
      </c>
      <c r="B7">
        <v>90</v>
      </c>
    </row>
    <row r="8" spans="1:9" x14ac:dyDescent="0.25">
      <c r="A8" s="1">
        <v>45809</v>
      </c>
      <c r="B8">
        <v>50</v>
      </c>
      <c r="D8" t="s">
        <v>3</v>
      </c>
      <c r="E8" s="7">
        <f>+NORMSINV(E6)</f>
        <v>2.3263478740408408</v>
      </c>
      <c r="F8" s="3" t="s">
        <v>4</v>
      </c>
    </row>
    <row r="9" spans="1:9" x14ac:dyDescent="0.25">
      <c r="A9" s="1">
        <v>45839</v>
      </c>
      <c r="B9">
        <v>70</v>
      </c>
    </row>
    <row r="10" spans="1:9" x14ac:dyDescent="0.25">
      <c r="A10" s="1">
        <v>45870</v>
      </c>
      <c r="B10">
        <v>80</v>
      </c>
      <c r="D10" t="s">
        <v>5</v>
      </c>
      <c r="E10" s="10">
        <v>40</v>
      </c>
      <c r="F10" t="s">
        <v>6</v>
      </c>
    </row>
    <row r="11" spans="1:9" x14ac:dyDescent="0.25">
      <c r="A11" s="1">
        <v>45901</v>
      </c>
      <c r="B11">
        <v>90</v>
      </c>
      <c r="D11" t="s">
        <v>5</v>
      </c>
      <c r="E11" s="6">
        <f>(E10+0.5)/30</f>
        <v>1.35</v>
      </c>
      <c r="F11" t="s">
        <v>7</v>
      </c>
      <c r="G11" s="9" t="s">
        <v>10</v>
      </c>
    </row>
    <row r="12" spans="1:9" x14ac:dyDescent="0.25">
      <c r="A12" s="1">
        <v>45931</v>
      </c>
      <c r="B12">
        <v>110</v>
      </c>
      <c r="D12" s="14" t="s">
        <v>43</v>
      </c>
      <c r="E12" s="14">
        <v>1.6</v>
      </c>
      <c r="F12" t="s">
        <v>6</v>
      </c>
    </row>
    <row r="13" spans="1:9" x14ac:dyDescent="0.25">
      <c r="A13" s="1">
        <v>45962</v>
      </c>
      <c r="B13">
        <v>60</v>
      </c>
      <c r="D13" t="s">
        <v>8</v>
      </c>
      <c r="E13">
        <f>+E8*E4*SQRT(E11)</f>
        <v>69.656094544741904</v>
      </c>
      <c r="F13" s="8" t="s">
        <v>9</v>
      </c>
      <c r="H13">
        <f>+E8*SQRT((E11*E4^2)+(E12/30)^2*(E3^2))</f>
        <v>70.38691444476774</v>
      </c>
      <c r="I13" s="3" t="s">
        <v>44</v>
      </c>
    </row>
    <row r="14" spans="1:9" x14ac:dyDescent="0.25">
      <c r="A14" s="1">
        <v>45992</v>
      </c>
      <c r="B14">
        <v>120</v>
      </c>
      <c r="D14" t="s">
        <v>11</v>
      </c>
      <c r="E14" s="10">
        <f>+E13/E3*30</f>
        <v>25.628185728725796</v>
      </c>
      <c r="F14" t="s">
        <v>6</v>
      </c>
    </row>
    <row r="15" spans="1:9" x14ac:dyDescent="0.25">
      <c r="A15" s="1">
        <v>46023</v>
      </c>
      <c r="B15">
        <v>130</v>
      </c>
      <c r="D15" t="s">
        <v>12</v>
      </c>
      <c r="E15">
        <f>+E14+E10</f>
        <v>65.628185728725796</v>
      </c>
      <c r="F15" t="s">
        <v>6</v>
      </c>
    </row>
    <row r="17" spans="4:10" x14ac:dyDescent="0.25">
      <c r="D17" t="s">
        <v>13</v>
      </c>
      <c r="E17" s="10">
        <f>+E14+E10/2</f>
        <v>45.628185728725796</v>
      </c>
      <c r="F17" t="s">
        <v>6</v>
      </c>
      <c r="G17" s="3" t="s">
        <v>14</v>
      </c>
    </row>
    <row r="19" spans="4:10" x14ac:dyDescent="0.25">
      <c r="D19" t="s">
        <v>15</v>
      </c>
    </row>
    <row r="20" spans="4:10" x14ac:dyDescent="0.25">
      <c r="D20" t="s">
        <v>16</v>
      </c>
    </row>
    <row r="21" spans="4:10" x14ac:dyDescent="0.25">
      <c r="D21" t="s">
        <v>17</v>
      </c>
    </row>
    <row r="22" spans="4:10" x14ac:dyDescent="0.25">
      <c r="D22" t="s">
        <v>30</v>
      </c>
    </row>
    <row r="24" spans="4:10" x14ac:dyDescent="0.25">
      <c r="E24" t="s">
        <v>18</v>
      </c>
      <c r="F24" t="s">
        <v>19</v>
      </c>
      <c r="G24" t="s">
        <v>20</v>
      </c>
      <c r="H24" t="s">
        <v>21</v>
      </c>
      <c r="J24" t="s">
        <v>29</v>
      </c>
    </row>
    <row r="25" spans="4:10" x14ac:dyDescent="0.25">
      <c r="D25" t="s">
        <v>22</v>
      </c>
      <c r="E25">
        <v>100</v>
      </c>
      <c r="F25">
        <v>80</v>
      </c>
      <c r="G25">
        <v>60</v>
      </c>
      <c r="H25">
        <f t="shared" ref="H25:H31" si="0">+E25-F25+G25</f>
        <v>80</v>
      </c>
    </row>
    <row r="26" spans="4:10" x14ac:dyDescent="0.25">
      <c r="D26" t="s">
        <v>23</v>
      </c>
      <c r="E26">
        <f t="shared" ref="E26:E31" si="1">+H25</f>
        <v>80</v>
      </c>
      <c r="F26">
        <v>60</v>
      </c>
      <c r="G26">
        <v>50</v>
      </c>
      <c r="H26">
        <f t="shared" si="0"/>
        <v>70</v>
      </c>
    </row>
    <row r="27" spans="4:10" x14ac:dyDescent="0.25">
      <c r="D27" t="s">
        <v>24</v>
      </c>
      <c r="E27">
        <f t="shared" si="1"/>
        <v>70</v>
      </c>
      <c r="F27" s="12">
        <v>80</v>
      </c>
      <c r="G27">
        <f>MAX(0,ROUNDUP((J27-E27+F27)/100,0)*100)</f>
        <v>200</v>
      </c>
      <c r="H27">
        <f t="shared" si="0"/>
        <v>190</v>
      </c>
      <c r="I27" s="3" t="s">
        <v>31</v>
      </c>
      <c r="J27">
        <f>+F27/30*$E$17</f>
        <v>121.67516194326879</v>
      </c>
    </row>
    <row r="28" spans="4:10" x14ac:dyDescent="0.25">
      <c r="D28" t="s">
        <v>25</v>
      </c>
      <c r="E28">
        <f t="shared" si="1"/>
        <v>190</v>
      </c>
      <c r="F28" s="11">
        <v>120</v>
      </c>
      <c r="G28">
        <f>MAX(0,ROUNDUP((J28-E28+F28)/100,0)*100)</f>
        <v>200</v>
      </c>
      <c r="H28">
        <f t="shared" si="0"/>
        <v>270</v>
      </c>
      <c r="J28">
        <f>+F28/30*$E$17</f>
        <v>182.51274291490319</v>
      </c>
    </row>
    <row r="29" spans="4:10" x14ac:dyDescent="0.25">
      <c r="D29" t="s">
        <v>26</v>
      </c>
      <c r="E29">
        <f t="shared" si="1"/>
        <v>270</v>
      </c>
      <c r="F29" s="11">
        <v>70</v>
      </c>
      <c r="G29">
        <f>MAX(0,ROUNDUP((J29-E29+F29)/100,0)*100)</f>
        <v>0</v>
      </c>
      <c r="H29">
        <f t="shared" si="0"/>
        <v>200</v>
      </c>
      <c r="I29" s="3" t="s">
        <v>32</v>
      </c>
      <c r="J29">
        <f>+F29/30*$E$17</f>
        <v>106.46576670036019</v>
      </c>
    </row>
    <row r="30" spans="4:10" x14ac:dyDescent="0.25">
      <c r="D30" t="s">
        <v>27</v>
      </c>
      <c r="E30">
        <f t="shared" si="1"/>
        <v>200</v>
      </c>
      <c r="F30" s="11">
        <v>60</v>
      </c>
      <c r="G30">
        <f>MAX(0,ROUNDUP((J30-E30+F30)/100,0)*100)</f>
        <v>0</v>
      </c>
      <c r="H30">
        <f t="shared" si="0"/>
        <v>140</v>
      </c>
      <c r="J30">
        <f>+F30/30*$E$17</f>
        <v>91.256371457451593</v>
      </c>
    </row>
    <row r="31" spans="4:10" x14ac:dyDescent="0.25">
      <c r="D31" t="s">
        <v>28</v>
      </c>
      <c r="E31">
        <f t="shared" si="1"/>
        <v>140</v>
      </c>
      <c r="F31" s="11">
        <v>140</v>
      </c>
      <c r="G31">
        <f>MAX(0,ROUNDUP((J31-E31+F31)/100,0)*100)</f>
        <v>300</v>
      </c>
      <c r="H31">
        <f t="shared" si="0"/>
        <v>300</v>
      </c>
      <c r="J31">
        <f>+F31/30*$E$17</f>
        <v>212.93153340072038</v>
      </c>
    </row>
    <row r="35" spans="4:7" x14ac:dyDescent="0.25">
      <c r="D35" t="s">
        <v>33</v>
      </c>
    </row>
    <row r="37" spans="4:7" x14ac:dyDescent="0.25">
      <c r="E37" t="s">
        <v>34</v>
      </c>
      <c r="F37" s="6">
        <v>30</v>
      </c>
      <c r="G37" t="s">
        <v>35</v>
      </c>
    </row>
    <row r="38" spans="4:7" x14ac:dyDescent="0.25">
      <c r="E38" t="s">
        <v>36</v>
      </c>
      <c r="F38">
        <v>40</v>
      </c>
    </row>
    <row r="39" spans="4:7" x14ac:dyDescent="0.25">
      <c r="E39" t="s">
        <v>37</v>
      </c>
      <c r="F39" s="6">
        <v>3</v>
      </c>
    </row>
    <row r="40" spans="4:7" x14ac:dyDescent="0.25">
      <c r="E40" t="s">
        <v>38</v>
      </c>
      <c r="F40" s="2">
        <v>0.99</v>
      </c>
    </row>
    <row r="41" spans="4:7" x14ac:dyDescent="0.25">
      <c r="E41" t="s">
        <v>39</v>
      </c>
      <c r="F41" s="7">
        <f>+E8</f>
        <v>2.3263478740408408</v>
      </c>
    </row>
    <row r="43" spans="4:7" x14ac:dyDescent="0.25">
      <c r="E43" t="s">
        <v>41</v>
      </c>
      <c r="F43">
        <f>+F37*F39*F41</f>
        <v>209.37130866367568</v>
      </c>
      <c r="G43" s="3" t="s">
        <v>40</v>
      </c>
    </row>
    <row r="44" spans="4:7" x14ac:dyDescent="0.25">
      <c r="E44" t="s">
        <v>42</v>
      </c>
      <c r="F44" s="13">
        <f>+F43/F37</f>
        <v>6.9790436221225223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3772-5740-4892-96E0-91A0EA3C7998}">
  <dimension ref="A3:J44"/>
  <sheetViews>
    <sheetView zoomScale="240" zoomScaleNormal="240" workbookViewId="0">
      <selection activeCell="B15" sqref="A3:B15"/>
    </sheetView>
  </sheetViews>
  <sheetFormatPr baseColWidth="10" defaultRowHeight="15" x14ac:dyDescent="0.25"/>
  <cols>
    <col min="3" max="3" width="2.5703125" customWidth="1"/>
    <col min="4" max="4" width="12.28515625" customWidth="1"/>
    <col min="5" max="5" width="13" bestFit="1" customWidth="1"/>
    <col min="6" max="6" width="14.5703125" customWidth="1"/>
    <col min="8" max="8" width="14.5703125" bestFit="1" customWidth="1"/>
    <col min="9" max="9" width="43.42578125" customWidth="1"/>
  </cols>
  <sheetData>
    <row r="3" spans="1:9" x14ac:dyDescent="0.25">
      <c r="A3" s="1">
        <v>45658</v>
      </c>
      <c r="B3">
        <v>50</v>
      </c>
      <c r="D3" t="s">
        <v>0</v>
      </c>
      <c r="E3">
        <f>+AVERAGE(B3:B15)</f>
        <v>81.538461538461533</v>
      </c>
      <c r="H3" cm="1" vm="1">
        <f t="array" ref="H3">_xlfn._xlws.PY(0,1,E3,E4)</f>
        <v>107.30864904461995</v>
      </c>
    </row>
    <row r="4" spans="1:9" x14ac:dyDescent="0.25">
      <c r="A4" s="1">
        <v>45689</v>
      </c>
      <c r="B4">
        <v>60</v>
      </c>
      <c r="D4" t="s">
        <v>1</v>
      </c>
      <c r="E4" s="6">
        <f>+_xlfn.STDEV.S(B3:B15)</f>
        <v>25.770187506158425</v>
      </c>
      <c r="H4">
        <f>+H3+1</f>
        <v>108.30864904461995</v>
      </c>
    </row>
    <row r="5" spans="1:9" x14ac:dyDescent="0.25">
      <c r="A5" s="1">
        <v>45717</v>
      </c>
      <c r="B5">
        <v>70</v>
      </c>
    </row>
    <row r="6" spans="1:9" x14ac:dyDescent="0.25">
      <c r="A6" s="1">
        <v>45748</v>
      </c>
      <c r="B6">
        <v>80</v>
      </c>
      <c r="D6" t="s">
        <v>2</v>
      </c>
      <c r="E6" s="5">
        <v>0.99</v>
      </c>
    </row>
    <row r="7" spans="1:9" x14ac:dyDescent="0.25">
      <c r="A7" s="1">
        <v>45778</v>
      </c>
      <c r="B7">
        <v>90</v>
      </c>
    </row>
    <row r="8" spans="1:9" x14ac:dyDescent="0.25">
      <c r="A8" s="1">
        <v>45809</v>
      </c>
      <c r="B8">
        <v>50</v>
      </c>
      <c r="D8" t="s">
        <v>3</v>
      </c>
      <c r="E8" s="7">
        <f>+NORMSINV(E6)</f>
        <v>2.3263478740408408</v>
      </c>
      <c r="F8" s="3" t="s">
        <v>4</v>
      </c>
    </row>
    <row r="9" spans="1:9" x14ac:dyDescent="0.25">
      <c r="A9" s="1">
        <v>45839</v>
      </c>
      <c r="B9">
        <v>70</v>
      </c>
    </row>
    <row r="10" spans="1:9" x14ac:dyDescent="0.25">
      <c r="A10" s="1">
        <v>45870</v>
      </c>
      <c r="B10">
        <v>80</v>
      </c>
      <c r="D10" t="s">
        <v>5</v>
      </c>
      <c r="E10" s="10">
        <v>40</v>
      </c>
      <c r="F10" t="s">
        <v>6</v>
      </c>
    </row>
    <row r="11" spans="1:9" x14ac:dyDescent="0.25">
      <c r="A11" s="1">
        <v>45901</v>
      </c>
      <c r="B11">
        <v>90</v>
      </c>
      <c r="D11" t="s">
        <v>5</v>
      </c>
      <c r="E11" s="6">
        <f>(E10+0.5)/30</f>
        <v>1.35</v>
      </c>
      <c r="F11" t="s">
        <v>7</v>
      </c>
      <c r="G11" s="9" t="s">
        <v>10</v>
      </c>
    </row>
    <row r="12" spans="1:9" x14ac:dyDescent="0.25">
      <c r="A12" s="1">
        <v>45931</v>
      </c>
      <c r="B12">
        <v>110</v>
      </c>
      <c r="D12" s="14" t="s">
        <v>43</v>
      </c>
      <c r="E12" s="14">
        <v>1.6</v>
      </c>
      <c r="F12" t="s">
        <v>6</v>
      </c>
    </row>
    <row r="13" spans="1:9" x14ac:dyDescent="0.25">
      <c r="A13" s="1">
        <v>45962</v>
      </c>
      <c r="B13">
        <v>60</v>
      </c>
      <c r="D13" t="s">
        <v>8</v>
      </c>
      <c r="E13">
        <f>+E8*E4*SQRT(E11)</f>
        <v>69.656094544741904</v>
      </c>
      <c r="F13" s="8" t="s">
        <v>9</v>
      </c>
      <c r="H13">
        <f>+E8*SQRT((E11*E4^2)+(E12/30)^2*(E3^2))</f>
        <v>70.38691444476774</v>
      </c>
      <c r="I13" s="3" t="s">
        <v>44</v>
      </c>
    </row>
    <row r="14" spans="1:9" x14ac:dyDescent="0.25">
      <c r="A14" s="1">
        <v>45992</v>
      </c>
      <c r="B14">
        <v>120</v>
      </c>
      <c r="D14" t="s">
        <v>11</v>
      </c>
      <c r="E14" s="10">
        <f>+E13/E3*30</f>
        <v>25.628185728725796</v>
      </c>
      <c r="F14" t="s">
        <v>6</v>
      </c>
    </row>
    <row r="15" spans="1:9" x14ac:dyDescent="0.25">
      <c r="A15" s="1">
        <v>46023</v>
      </c>
      <c r="B15">
        <v>130</v>
      </c>
      <c r="D15" t="s">
        <v>12</v>
      </c>
      <c r="E15">
        <f>+E14+E10</f>
        <v>65.628185728725796</v>
      </c>
      <c r="F15" t="s">
        <v>6</v>
      </c>
    </row>
    <row r="17" spans="4:10" x14ac:dyDescent="0.25">
      <c r="D17" t="s">
        <v>13</v>
      </c>
      <c r="E17" s="10">
        <f>+E14+E10/2</f>
        <v>45.628185728725796</v>
      </c>
      <c r="F17" t="s">
        <v>6</v>
      </c>
      <c r="G17" s="3" t="s">
        <v>14</v>
      </c>
    </row>
    <row r="19" spans="4:10" x14ac:dyDescent="0.25">
      <c r="D19" t="s">
        <v>15</v>
      </c>
    </row>
    <row r="20" spans="4:10" x14ac:dyDescent="0.25">
      <c r="D20" t="s">
        <v>16</v>
      </c>
    </row>
    <row r="21" spans="4:10" x14ac:dyDescent="0.25">
      <c r="D21" t="s">
        <v>17</v>
      </c>
    </row>
    <row r="22" spans="4:10" x14ac:dyDescent="0.25">
      <c r="D22" t="s">
        <v>30</v>
      </c>
    </row>
    <row r="24" spans="4:10" x14ac:dyDescent="0.25">
      <c r="E24" t="s">
        <v>18</v>
      </c>
      <c r="F24" t="s">
        <v>19</v>
      </c>
      <c r="G24" t="s">
        <v>20</v>
      </c>
      <c r="H24" t="s">
        <v>21</v>
      </c>
      <c r="J24" t="s">
        <v>29</v>
      </c>
    </row>
    <row r="25" spans="4:10" x14ac:dyDescent="0.25">
      <c r="D25" t="s">
        <v>22</v>
      </c>
      <c r="E25">
        <v>100</v>
      </c>
      <c r="F25">
        <v>80</v>
      </c>
      <c r="G25">
        <v>60</v>
      </c>
      <c r="H25">
        <f t="shared" ref="H25:H31" si="0">+E25-F25+G25</f>
        <v>80</v>
      </c>
    </row>
    <row r="26" spans="4:10" x14ac:dyDescent="0.25">
      <c r="D26" t="s">
        <v>23</v>
      </c>
      <c r="E26">
        <f t="shared" ref="E26:E31" si="1">+H25</f>
        <v>80</v>
      </c>
      <c r="F26">
        <v>60</v>
      </c>
      <c r="G26">
        <v>50</v>
      </c>
      <c r="H26">
        <f t="shared" si="0"/>
        <v>70</v>
      </c>
    </row>
    <row r="27" spans="4:10" x14ac:dyDescent="0.25">
      <c r="D27" t="s">
        <v>24</v>
      </c>
      <c r="E27">
        <f t="shared" si="1"/>
        <v>70</v>
      </c>
      <c r="F27" s="12">
        <v>80</v>
      </c>
      <c r="G27">
        <f>MAX(0,ROUNDUP((J27-E27+F27)/100,0)*100)</f>
        <v>200</v>
      </c>
      <c r="H27">
        <f t="shared" si="0"/>
        <v>190</v>
      </c>
      <c r="I27" s="3" t="s">
        <v>31</v>
      </c>
      <c r="J27">
        <f>+F27/30*$E$17</f>
        <v>121.67516194326879</v>
      </c>
    </row>
    <row r="28" spans="4:10" x14ac:dyDescent="0.25">
      <c r="D28" t="s">
        <v>25</v>
      </c>
      <c r="E28">
        <f t="shared" si="1"/>
        <v>190</v>
      </c>
      <c r="F28" s="11">
        <v>120</v>
      </c>
      <c r="G28">
        <f>MAX(0,ROUNDUP((J28-E28+F28)/100,0)*100)</f>
        <v>200</v>
      </c>
      <c r="H28">
        <f t="shared" si="0"/>
        <v>270</v>
      </c>
      <c r="J28">
        <f>+F28/30*$E$17</f>
        <v>182.51274291490319</v>
      </c>
    </row>
    <row r="29" spans="4:10" x14ac:dyDescent="0.25">
      <c r="D29" t="s">
        <v>26</v>
      </c>
      <c r="E29">
        <f t="shared" si="1"/>
        <v>270</v>
      </c>
      <c r="F29" s="11">
        <v>70</v>
      </c>
      <c r="G29">
        <f>MAX(0,ROUNDUP((J29-E29+F29)/100,0)*100)</f>
        <v>0</v>
      </c>
      <c r="H29">
        <f t="shared" si="0"/>
        <v>200</v>
      </c>
      <c r="I29" s="3" t="s">
        <v>32</v>
      </c>
      <c r="J29">
        <f>+F29/30*$E$17</f>
        <v>106.46576670036019</v>
      </c>
    </row>
    <row r="30" spans="4:10" x14ac:dyDescent="0.25">
      <c r="D30" t="s">
        <v>27</v>
      </c>
      <c r="E30">
        <f t="shared" si="1"/>
        <v>200</v>
      </c>
      <c r="F30" s="11">
        <v>60</v>
      </c>
      <c r="G30">
        <f>MAX(0,ROUNDUP((J30-E30+F30)/100,0)*100)</f>
        <v>0</v>
      </c>
      <c r="H30">
        <f t="shared" si="0"/>
        <v>140</v>
      </c>
      <c r="J30">
        <f>+F30/30*$E$17</f>
        <v>91.256371457451593</v>
      </c>
    </row>
    <row r="31" spans="4:10" x14ac:dyDescent="0.25">
      <c r="D31" t="s">
        <v>28</v>
      </c>
      <c r="E31">
        <f t="shared" si="1"/>
        <v>140</v>
      </c>
      <c r="F31" s="11">
        <v>140</v>
      </c>
      <c r="G31">
        <f>MAX(0,ROUNDUP((J31-E31+F31)/100,0)*100)</f>
        <v>300</v>
      </c>
      <c r="H31">
        <f t="shared" si="0"/>
        <v>300</v>
      </c>
      <c r="J31">
        <f>+F31/30*$E$17</f>
        <v>212.93153340072038</v>
      </c>
    </row>
    <row r="35" spans="4:7" x14ac:dyDescent="0.25">
      <c r="D35" t="s">
        <v>33</v>
      </c>
    </row>
    <row r="37" spans="4:7" x14ac:dyDescent="0.25">
      <c r="E37" t="s">
        <v>34</v>
      </c>
      <c r="F37" s="6">
        <v>30</v>
      </c>
      <c r="G37" t="s">
        <v>35</v>
      </c>
    </row>
    <row r="38" spans="4:7" x14ac:dyDescent="0.25">
      <c r="E38" t="s">
        <v>36</v>
      </c>
      <c r="F38">
        <v>40</v>
      </c>
    </row>
    <row r="39" spans="4:7" x14ac:dyDescent="0.25">
      <c r="E39" t="s">
        <v>37</v>
      </c>
      <c r="F39" s="6">
        <v>3</v>
      </c>
    </row>
    <row r="40" spans="4:7" x14ac:dyDescent="0.25">
      <c r="E40" t="s">
        <v>38</v>
      </c>
      <c r="F40" s="2">
        <v>0.99</v>
      </c>
    </row>
    <row r="41" spans="4:7" x14ac:dyDescent="0.25">
      <c r="E41" t="s">
        <v>39</v>
      </c>
      <c r="F41" s="7">
        <f>+E8</f>
        <v>2.3263478740408408</v>
      </c>
    </row>
    <row r="43" spans="4:7" x14ac:dyDescent="0.25">
      <c r="E43" t="s">
        <v>41</v>
      </c>
      <c r="F43">
        <f>+F37*F39*F41</f>
        <v>209.37130866367568</v>
      </c>
      <c r="G43" s="3" t="s">
        <v>40</v>
      </c>
    </row>
    <row r="44" spans="4:7" x14ac:dyDescent="0.25">
      <c r="E44" t="s">
        <v>42</v>
      </c>
      <c r="F44" s="13">
        <f>+F43/F37</f>
        <v>6.9790436221225223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DC37-931E-4353-991D-596D5C031541}">
  <dimension ref="A3:C20"/>
  <sheetViews>
    <sheetView zoomScale="200" zoomScaleNormal="200" workbookViewId="0">
      <selection activeCell="E13" sqref="E13"/>
    </sheetView>
  </sheetViews>
  <sheetFormatPr baseColWidth="10" defaultRowHeight="15" x14ac:dyDescent="0.25"/>
  <cols>
    <col min="4" max="4" width="19.42578125" customWidth="1"/>
    <col min="5" max="5" width="14.5703125" bestFit="1" customWidth="1"/>
  </cols>
  <sheetData>
    <row r="3" spans="1:3" x14ac:dyDescent="0.25">
      <c r="A3" s="1">
        <v>45658</v>
      </c>
      <c r="B3">
        <v>50</v>
      </c>
      <c r="C3">
        <v>50</v>
      </c>
    </row>
    <row r="4" spans="1:3" x14ac:dyDescent="0.25">
      <c r="A4" s="1">
        <v>45689</v>
      </c>
      <c r="B4">
        <v>60</v>
      </c>
      <c r="C4">
        <v>60</v>
      </c>
    </row>
    <row r="5" spans="1:3" x14ac:dyDescent="0.25">
      <c r="A5" s="1">
        <v>45717</v>
      </c>
      <c r="B5">
        <v>70</v>
      </c>
      <c r="C5">
        <v>70</v>
      </c>
    </row>
    <row r="6" spans="1:3" x14ac:dyDescent="0.25">
      <c r="A6" s="1">
        <v>45748</v>
      </c>
      <c r="B6">
        <v>80</v>
      </c>
      <c r="C6">
        <v>80</v>
      </c>
    </row>
    <row r="7" spans="1:3" x14ac:dyDescent="0.25">
      <c r="A7" s="1">
        <v>45778</v>
      </c>
      <c r="B7">
        <v>90</v>
      </c>
      <c r="C7">
        <v>90</v>
      </c>
    </row>
    <row r="8" spans="1:3" x14ac:dyDescent="0.25">
      <c r="A8" s="1">
        <v>45809</v>
      </c>
      <c r="B8">
        <v>50</v>
      </c>
      <c r="C8">
        <v>50</v>
      </c>
    </row>
    <row r="9" spans="1:3" x14ac:dyDescent="0.25">
      <c r="A9" s="1">
        <v>45839</v>
      </c>
      <c r="B9">
        <v>70</v>
      </c>
      <c r="C9">
        <v>70</v>
      </c>
    </row>
    <row r="10" spans="1:3" x14ac:dyDescent="0.25">
      <c r="A10" s="1">
        <v>45870</v>
      </c>
      <c r="B10">
        <v>80</v>
      </c>
      <c r="C10">
        <v>80</v>
      </c>
    </row>
    <row r="11" spans="1:3" x14ac:dyDescent="0.25">
      <c r="A11" s="1">
        <v>45901</v>
      </c>
      <c r="B11">
        <v>90</v>
      </c>
      <c r="C11">
        <v>90</v>
      </c>
    </row>
    <row r="12" spans="1:3" x14ac:dyDescent="0.25">
      <c r="A12" s="1">
        <v>45931</v>
      </c>
      <c r="B12">
        <v>110</v>
      </c>
      <c r="C12">
        <v>110</v>
      </c>
    </row>
    <row r="13" spans="1:3" x14ac:dyDescent="0.25">
      <c r="A13" s="1">
        <v>45962</v>
      </c>
      <c r="B13">
        <v>60</v>
      </c>
      <c r="C13">
        <v>60</v>
      </c>
    </row>
    <row r="14" spans="1:3" x14ac:dyDescent="0.25">
      <c r="A14" s="1">
        <v>45992</v>
      </c>
      <c r="B14">
        <v>120</v>
      </c>
      <c r="C14">
        <v>120</v>
      </c>
    </row>
    <row r="15" spans="1:3" x14ac:dyDescent="0.25">
      <c r="A15" s="1">
        <v>46023</v>
      </c>
      <c r="B15">
        <v>130</v>
      </c>
      <c r="C15">
        <v>130</v>
      </c>
    </row>
    <row r="17" spans="1:3" x14ac:dyDescent="0.25">
      <c r="A17" t="s">
        <v>45</v>
      </c>
      <c r="B17" s="2">
        <v>0.99</v>
      </c>
      <c r="C17" s="2">
        <v>0.99</v>
      </c>
    </row>
    <row r="18" spans="1:3" x14ac:dyDescent="0.25">
      <c r="A18" t="s">
        <v>5</v>
      </c>
      <c r="B18">
        <v>40</v>
      </c>
      <c r="C18">
        <v>40</v>
      </c>
    </row>
    <row r="19" spans="1:3" x14ac:dyDescent="0.25">
      <c r="A19" t="s">
        <v>46</v>
      </c>
      <c r="B19" cm="1" vm="2">
        <f t="array" ref="B19">_xlfn._xlws.PY(1,1,B3:B15,B17,B18)</f>
        <v>69.66</v>
      </c>
      <c r="C19" cm="1" vm="2">
        <f t="array" ref="C19">_xlfn._xlws.PY(1,1,C3:C15,C17,C18)</f>
        <v>69.66</v>
      </c>
    </row>
    <row r="20" spans="1:3" x14ac:dyDescent="0.25">
      <c r="A20" t="s">
        <v>47</v>
      </c>
      <c r="B20" cm="1" vm="3">
        <f t="array" ref="B20">_xlfn._xlws.PY(2,1,B3:B15,B17,B18)</f>
        <v>25.63</v>
      </c>
      <c r="C20" cm="1" vm="3">
        <f t="array" ref="C20">_xlfn._xlws.PY(2,1,C3:C15,C17,C18)</f>
        <v>25.63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3BD5-B60E-4113-9C3A-64A276DAF1C8}">
  <dimension ref="A1:G25"/>
  <sheetViews>
    <sheetView zoomScale="220" zoomScaleNormal="220" workbookViewId="0">
      <selection activeCell="C11" sqref="A1:C11"/>
    </sheetView>
  </sheetViews>
  <sheetFormatPr baseColWidth="10" defaultRowHeight="15" x14ac:dyDescent="0.25"/>
  <sheetData>
    <row r="1" spans="1:7" x14ac:dyDescent="0.25">
      <c r="A1" t="s">
        <v>48</v>
      </c>
      <c r="B1" t="s">
        <v>59</v>
      </c>
      <c r="C1" t="s">
        <v>60</v>
      </c>
    </row>
    <row r="2" spans="1:7" x14ac:dyDescent="0.25">
      <c r="A2" t="s">
        <v>49</v>
      </c>
      <c r="B2">
        <v>2</v>
      </c>
      <c r="C2">
        <v>800</v>
      </c>
    </row>
    <row r="3" spans="1:7" x14ac:dyDescent="0.25">
      <c r="A3" t="s">
        <v>50</v>
      </c>
      <c r="B3">
        <v>3</v>
      </c>
      <c r="C3">
        <v>1200</v>
      </c>
    </row>
    <row r="4" spans="1:7" x14ac:dyDescent="0.25">
      <c r="A4" t="s">
        <v>51</v>
      </c>
      <c r="B4">
        <v>4</v>
      </c>
      <c r="C4">
        <v>1500</v>
      </c>
    </row>
    <row r="5" spans="1:7" x14ac:dyDescent="0.25">
      <c r="A5" t="s">
        <v>52</v>
      </c>
      <c r="B5">
        <v>2</v>
      </c>
      <c r="C5">
        <v>2000</v>
      </c>
    </row>
    <row r="6" spans="1:7" x14ac:dyDescent="0.25">
      <c r="A6" t="s">
        <v>53</v>
      </c>
      <c r="B6">
        <v>3</v>
      </c>
      <c r="C6">
        <v>12000</v>
      </c>
    </row>
    <row r="7" spans="1:7" x14ac:dyDescent="0.25">
      <c r="A7" t="s">
        <v>54</v>
      </c>
      <c r="B7">
        <v>4</v>
      </c>
      <c r="C7">
        <v>1500</v>
      </c>
    </row>
    <row r="8" spans="1:7" x14ac:dyDescent="0.25">
      <c r="A8" s="15" t="s">
        <v>55</v>
      </c>
      <c r="B8" s="15">
        <v>5</v>
      </c>
      <c r="C8" s="15">
        <v>800</v>
      </c>
    </row>
    <row r="9" spans="1:7" x14ac:dyDescent="0.25">
      <c r="A9" s="14" t="s">
        <v>56</v>
      </c>
      <c r="B9" s="14">
        <v>1</v>
      </c>
      <c r="C9" s="14">
        <v>45000</v>
      </c>
    </row>
    <row r="10" spans="1:7" x14ac:dyDescent="0.25">
      <c r="A10" t="s">
        <v>57</v>
      </c>
      <c r="B10">
        <v>2</v>
      </c>
      <c r="C10">
        <v>2300</v>
      </c>
    </row>
    <row r="11" spans="1:7" x14ac:dyDescent="0.25">
      <c r="A11" t="s">
        <v>58</v>
      </c>
      <c r="B11">
        <v>3</v>
      </c>
      <c r="C11">
        <v>8000</v>
      </c>
    </row>
    <row r="13" spans="1:7" x14ac:dyDescent="0.25">
      <c r="C13" s="3" t="s">
        <v>61</v>
      </c>
    </row>
    <row r="15" spans="1:7" x14ac:dyDescent="0.25">
      <c r="A15" t="s">
        <v>48</v>
      </c>
      <c r="B15" t="s">
        <v>59</v>
      </c>
      <c r="C15" t="s">
        <v>60</v>
      </c>
      <c r="D15" s="15" t="s">
        <v>62</v>
      </c>
      <c r="E15" s="14" t="s">
        <v>63</v>
      </c>
      <c r="G15" s="3" t="s">
        <v>64</v>
      </c>
    </row>
    <row r="16" spans="1:7" x14ac:dyDescent="0.25">
      <c r="A16" t="s">
        <v>49</v>
      </c>
      <c r="B16">
        <f>+(B2-MIN(B$2:B$11))/(MAX(B$2:B$11)-MIN(B$2:B$11))</f>
        <v>0.25</v>
      </c>
      <c r="C16">
        <f>+(C2-MIN(C$2:C$11))/(MAX(C$2:C$11)-MIN(C$2:C$11))</f>
        <v>0</v>
      </c>
      <c r="D16" s="13">
        <f>+SQRT((B16-$B$22)^2+(C16-$C$22^2))</f>
        <v>0.75</v>
      </c>
      <c r="E16" s="4">
        <f>+SQRT((B16-$B$23)^2+(C16-$C$23)^2)</f>
        <v>1.0307764064044151</v>
      </c>
      <c r="F16" t="s">
        <v>65</v>
      </c>
    </row>
    <row r="17" spans="1:6" x14ac:dyDescent="0.25">
      <c r="A17" t="s">
        <v>50</v>
      </c>
      <c r="B17">
        <f t="shared" ref="B17:C25" si="0">+(B3-MIN(B$2:B$11))/(MAX(B$2:B$11)-MIN(B$2:B$11))</f>
        <v>0.5</v>
      </c>
      <c r="C17">
        <f t="shared" si="0"/>
        <v>9.0497737556561094E-3</v>
      </c>
      <c r="D17" s="13">
        <f t="shared" ref="D17:D25" si="1">+SQRT((B17-$B$22)^2+(C17-$C$22^2))</f>
        <v>0.50896932496532254</v>
      </c>
      <c r="E17" s="4">
        <f t="shared" ref="E17:E25" si="2">+SQRT((B17-$B$23)^2+(C17-$C$23)^2)</f>
        <v>1.1099470036419381</v>
      </c>
      <c r="F17" t="s">
        <v>65</v>
      </c>
    </row>
    <row r="18" spans="1:6" x14ac:dyDescent="0.25">
      <c r="A18" t="s">
        <v>51</v>
      </c>
      <c r="B18">
        <f t="shared" si="0"/>
        <v>0.75</v>
      </c>
      <c r="C18">
        <f t="shared" si="0"/>
        <v>1.5837104072398189E-2</v>
      </c>
      <c r="D18" s="13">
        <f t="shared" si="1"/>
        <v>0.27988766330868925</v>
      </c>
      <c r="E18" s="4">
        <f t="shared" si="2"/>
        <v>1.2373668032239282</v>
      </c>
      <c r="F18" t="s">
        <v>65</v>
      </c>
    </row>
    <row r="19" spans="1:6" x14ac:dyDescent="0.25">
      <c r="A19" t="s">
        <v>52</v>
      </c>
      <c r="B19">
        <f t="shared" si="0"/>
        <v>0.25</v>
      </c>
      <c r="C19">
        <f t="shared" si="0"/>
        <v>2.7149321266968326E-2</v>
      </c>
      <c r="D19" s="13">
        <f t="shared" si="1"/>
        <v>0.76788626844537877</v>
      </c>
      <c r="E19" s="4">
        <f t="shared" si="2"/>
        <v>1.0044592789711888</v>
      </c>
      <c r="F19" t="s">
        <v>65</v>
      </c>
    </row>
    <row r="20" spans="1:6" x14ac:dyDescent="0.25">
      <c r="A20" t="s">
        <v>53</v>
      </c>
      <c r="B20">
        <f t="shared" si="0"/>
        <v>0.5</v>
      </c>
      <c r="C20">
        <f t="shared" si="0"/>
        <v>0.25339366515837103</v>
      </c>
      <c r="D20" s="13">
        <f t="shared" si="1"/>
        <v>0.7095024067319089</v>
      </c>
      <c r="E20" s="4">
        <f t="shared" si="2"/>
        <v>0.89856609062753456</v>
      </c>
      <c r="F20" t="s">
        <v>65</v>
      </c>
    </row>
    <row r="21" spans="1:6" x14ac:dyDescent="0.25">
      <c r="A21" t="s">
        <v>54</v>
      </c>
      <c r="B21">
        <f t="shared" si="0"/>
        <v>0.75</v>
      </c>
      <c r="C21">
        <f t="shared" si="0"/>
        <v>1.5837104072398189E-2</v>
      </c>
      <c r="D21" s="13">
        <f t="shared" si="1"/>
        <v>0.27988766330868925</v>
      </c>
      <c r="E21" s="4">
        <f t="shared" si="2"/>
        <v>1.2373668032239282</v>
      </c>
      <c r="F21" t="s">
        <v>65</v>
      </c>
    </row>
    <row r="22" spans="1:6" x14ac:dyDescent="0.25">
      <c r="A22" s="15" t="s">
        <v>55</v>
      </c>
      <c r="B22">
        <f t="shared" si="0"/>
        <v>1</v>
      </c>
      <c r="C22">
        <f t="shared" si="0"/>
        <v>0</v>
      </c>
      <c r="D22" s="13">
        <f t="shared" si="1"/>
        <v>0</v>
      </c>
      <c r="E22" s="4">
        <f t="shared" si="2"/>
        <v>1.4142135623730951</v>
      </c>
      <c r="F22" t="s">
        <v>65</v>
      </c>
    </row>
    <row r="23" spans="1:6" x14ac:dyDescent="0.25">
      <c r="A23" s="14" t="s">
        <v>56</v>
      </c>
      <c r="B23">
        <f t="shared" si="0"/>
        <v>0</v>
      </c>
      <c r="C23">
        <f t="shared" si="0"/>
        <v>1</v>
      </c>
      <c r="D23" s="13">
        <f t="shared" si="1"/>
        <v>1.4142135623730951</v>
      </c>
      <c r="E23" s="4">
        <f t="shared" si="2"/>
        <v>0</v>
      </c>
      <c r="F23" t="s">
        <v>66</v>
      </c>
    </row>
    <row r="24" spans="1:6" x14ac:dyDescent="0.25">
      <c r="A24" t="s">
        <v>57</v>
      </c>
      <c r="B24">
        <f t="shared" si="0"/>
        <v>0.25</v>
      </c>
      <c r="C24">
        <f t="shared" si="0"/>
        <v>3.3936651583710405E-2</v>
      </c>
      <c r="D24" s="13">
        <f t="shared" si="1"/>
        <v>0.77229311247978272</v>
      </c>
      <c r="E24" s="4">
        <f t="shared" si="2"/>
        <v>0.99788696411632383</v>
      </c>
      <c r="F24" t="s">
        <v>65</v>
      </c>
    </row>
    <row r="25" spans="1:6" x14ac:dyDescent="0.25">
      <c r="A25" t="s">
        <v>58</v>
      </c>
      <c r="B25">
        <f t="shared" si="0"/>
        <v>0.5</v>
      </c>
      <c r="C25">
        <f t="shared" si="0"/>
        <v>0.16289592760180996</v>
      </c>
      <c r="D25" s="13">
        <f t="shared" si="1"/>
        <v>0.64256978422721522</v>
      </c>
      <c r="E25" s="4">
        <f t="shared" si="2"/>
        <v>0.9750606278717413</v>
      </c>
      <c r="F25" t="s">
        <v>65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011C-C7D0-4C82-BDFE-D5E3450A77F4}">
  <dimension ref="A1:E21"/>
  <sheetViews>
    <sheetView zoomScale="180" zoomScaleNormal="180" workbookViewId="0">
      <selection activeCell="E5" sqref="E5"/>
    </sheetView>
  </sheetViews>
  <sheetFormatPr baseColWidth="10" defaultRowHeight="15" x14ac:dyDescent="0.25"/>
  <cols>
    <col min="5" max="5" width="14.5703125" bestFit="1" customWidth="1"/>
  </cols>
  <sheetData>
    <row r="1" spans="1:5" x14ac:dyDescent="0.25">
      <c r="A1" t="s">
        <v>48</v>
      </c>
      <c r="B1" t="s">
        <v>59</v>
      </c>
      <c r="C1" t="s">
        <v>60</v>
      </c>
      <c r="D1" t="s">
        <v>77</v>
      </c>
    </row>
    <row r="2" spans="1:5" x14ac:dyDescent="0.25">
      <c r="A2" t="s">
        <v>49</v>
      </c>
      <c r="B2">
        <v>2</v>
      </c>
      <c r="C2">
        <v>800</v>
      </c>
      <c r="D2">
        <v>1</v>
      </c>
    </row>
    <row r="3" spans="1:5" x14ac:dyDescent="0.25">
      <c r="A3" t="s">
        <v>50</v>
      </c>
      <c r="B3">
        <v>3</v>
      </c>
      <c r="C3">
        <v>1200</v>
      </c>
      <c r="D3">
        <v>2</v>
      </c>
    </row>
    <row r="4" spans="1:5" x14ac:dyDescent="0.25">
      <c r="A4" t="s">
        <v>51</v>
      </c>
      <c r="B4">
        <v>4</v>
      </c>
      <c r="C4">
        <v>1500</v>
      </c>
      <c r="D4">
        <v>3</v>
      </c>
      <c r="E4" t="e" cm="1" vm="4">
        <f t="array" ref="E4">_xlfn._xlws.PY(3,1,A1:D21)</f>
        <v>#VALUE!</v>
      </c>
    </row>
    <row r="5" spans="1:5" x14ac:dyDescent="0.25">
      <c r="A5" t="s">
        <v>52</v>
      </c>
      <c r="B5">
        <v>2</v>
      </c>
      <c r="C5">
        <v>2000</v>
      </c>
      <c r="D5">
        <v>1</v>
      </c>
    </row>
    <row r="6" spans="1:5" x14ac:dyDescent="0.25">
      <c r="A6" t="s">
        <v>53</v>
      </c>
      <c r="B6">
        <v>3</v>
      </c>
      <c r="C6">
        <v>12000</v>
      </c>
      <c r="D6">
        <v>2</v>
      </c>
    </row>
    <row r="7" spans="1:5" x14ac:dyDescent="0.25">
      <c r="A7" t="s">
        <v>54</v>
      </c>
      <c r="B7">
        <v>4</v>
      </c>
      <c r="C7">
        <v>1500</v>
      </c>
      <c r="D7">
        <v>3</v>
      </c>
    </row>
    <row r="8" spans="1:5" x14ac:dyDescent="0.25">
      <c r="A8" s="15" t="s">
        <v>55</v>
      </c>
      <c r="B8" s="15">
        <v>5</v>
      </c>
      <c r="C8" s="15">
        <v>800</v>
      </c>
      <c r="D8">
        <v>1</v>
      </c>
    </row>
    <row r="9" spans="1:5" x14ac:dyDescent="0.25">
      <c r="A9" s="14" t="s">
        <v>56</v>
      </c>
      <c r="B9" s="14">
        <v>1</v>
      </c>
      <c r="C9" s="14">
        <v>45000</v>
      </c>
      <c r="D9">
        <v>1</v>
      </c>
    </row>
    <row r="10" spans="1:5" x14ac:dyDescent="0.25">
      <c r="A10" t="s">
        <v>57</v>
      </c>
      <c r="B10">
        <v>2</v>
      </c>
      <c r="C10">
        <v>2300</v>
      </c>
      <c r="D10">
        <v>1</v>
      </c>
    </row>
    <row r="11" spans="1:5" x14ac:dyDescent="0.25">
      <c r="A11" t="s">
        <v>58</v>
      </c>
      <c r="B11">
        <v>3</v>
      </c>
      <c r="C11">
        <v>8000</v>
      </c>
      <c r="D11">
        <v>1</v>
      </c>
    </row>
    <row r="12" spans="1:5" x14ac:dyDescent="0.25">
      <c r="A12" t="s">
        <v>67</v>
      </c>
      <c r="B12">
        <v>3</v>
      </c>
      <c r="C12">
        <v>9000</v>
      </c>
      <c r="D12">
        <v>2</v>
      </c>
    </row>
    <row r="13" spans="1:5" x14ac:dyDescent="0.25">
      <c r="A13" t="s">
        <v>68</v>
      </c>
      <c r="B13">
        <v>4</v>
      </c>
      <c r="C13">
        <v>8</v>
      </c>
      <c r="D13">
        <v>2</v>
      </c>
    </row>
    <row r="14" spans="1:5" x14ac:dyDescent="0.25">
      <c r="A14" t="s">
        <v>69</v>
      </c>
      <c r="B14">
        <v>8</v>
      </c>
      <c r="C14">
        <v>15</v>
      </c>
      <c r="D14">
        <v>2</v>
      </c>
    </row>
    <row r="15" spans="1:5" x14ac:dyDescent="0.25">
      <c r="A15" t="s">
        <v>70</v>
      </c>
      <c r="B15">
        <v>10</v>
      </c>
      <c r="C15">
        <v>15000</v>
      </c>
      <c r="D15">
        <v>1</v>
      </c>
    </row>
    <row r="16" spans="1:5" x14ac:dyDescent="0.25">
      <c r="A16" t="s">
        <v>71</v>
      </c>
      <c r="B16">
        <v>2</v>
      </c>
      <c r="C16">
        <v>25000</v>
      </c>
      <c r="D16">
        <v>1</v>
      </c>
    </row>
    <row r="17" spans="1:4" x14ac:dyDescent="0.25">
      <c r="A17" t="s">
        <v>72</v>
      </c>
      <c r="B17">
        <v>3</v>
      </c>
      <c r="C17">
        <v>3000</v>
      </c>
      <c r="D17">
        <v>2</v>
      </c>
    </row>
    <row r="18" spans="1:4" x14ac:dyDescent="0.25">
      <c r="A18" t="s">
        <v>73</v>
      </c>
      <c r="B18">
        <v>5</v>
      </c>
      <c r="C18">
        <v>2000</v>
      </c>
      <c r="D18">
        <v>1</v>
      </c>
    </row>
    <row r="19" spans="1:4" x14ac:dyDescent="0.25">
      <c r="A19" t="s">
        <v>74</v>
      </c>
      <c r="B19">
        <v>1</v>
      </c>
      <c r="C19">
        <v>1800</v>
      </c>
      <c r="D19">
        <v>1</v>
      </c>
    </row>
    <row r="20" spans="1:4" x14ac:dyDescent="0.25">
      <c r="A20" t="s">
        <v>75</v>
      </c>
      <c r="B20">
        <v>3</v>
      </c>
      <c r="C20">
        <v>90000</v>
      </c>
      <c r="D20">
        <v>1</v>
      </c>
    </row>
    <row r="21" spans="1:4" x14ac:dyDescent="0.25">
      <c r="A21" t="s">
        <v>76</v>
      </c>
      <c r="B21">
        <v>2</v>
      </c>
      <c r="C21">
        <v>3256</v>
      </c>
      <c r="D21">
        <v>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BDD5-E0BE-43CE-88D2-AD350AC14ABF}">
  <dimension ref="D3:F11"/>
  <sheetViews>
    <sheetView zoomScale="160" zoomScaleNormal="160" workbookViewId="0">
      <selection activeCell="F6" sqref="F6"/>
    </sheetView>
  </sheetViews>
  <sheetFormatPr baseColWidth="10" defaultRowHeight="15" x14ac:dyDescent="0.25"/>
  <sheetData>
    <row r="3" spans="4:6" x14ac:dyDescent="0.25">
      <c r="D3" t="s">
        <v>78</v>
      </c>
      <c r="E3">
        <v>30</v>
      </c>
      <c r="F3">
        <v>15</v>
      </c>
    </row>
    <row r="4" spans="4:6" x14ac:dyDescent="0.25">
      <c r="D4" t="s">
        <v>79</v>
      </c>
      <c r="E4">
        <v>15000</v>
      </c>
      <c r="F4">
        <v>7500</v>
      </c>
    </row>
    <row r="5" spans="4:6" x14ac:dyDescent="0.25">
      <c r="D5" t="s">
        <v>80</v>
      </c>
      <c r="E5">
        <v>2</v>
      </c>
      <c r="F5">
        <v>2.2999999999999998</v>
      </c>
    </row>
    <row r="7" spans="4:6" x14ac:dyDescent="0.25">
      <c r="D7" t="s">
        <v>81</v>
      </c>
      <c r="E7">
        <f>+E4/2</f>
        <v>7500</v>
      </c>
      <c r="F7">
        <f>+F4/2</f>
        <v>3750</v>
      </c>
    </row>
    <row r="9" spans="4:6" x14ac:dyDescent="0.25">
      <c r="D9" t="s">
        <v>82</v>
      </c>
      <c r="E9" s="5">
        <f>8%+6%+1%+4%</f>
        <v>0.19000000000000003</v>
      </c>
      <c r="F9" s="5">
        <f>8%+6%+1%+4%</f>
        <v>0.19000000000000003</v>
      </c>
    </row>
    <row r="11" spans="4:6" x14ac:dyDescent="0.25">
      <c r="D11" t="s">
        <v>83</v>
      </c>
      <c r="E11" s="16">
        <f>+E7*E5*E9</f>
        <v>2850.0000000000005</v>
      </c>
      <c r="F11" s="16">
        <f>+F7*F5*F9</f>
        <v>1638.7500000000002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8270-ABC1-4D2B-AD67-FA514A0EEEAC}">
  <dimension ref="C1:E16"/>
  <sheetViews>
    <sheetView tabSelected="1" zoomScale="170" zoomScaleNormal="170" workbookViewId="0">
      <selection activeCell="F18" sqref="F18"/>
    </sheetView>
  </sheetViews>
  <sheetFormatPr baseColWidth="10" defaultRowHeight="15" x14ac:dyDescent="0.25"/>
  <sheetData>
    <row r="1" spans="3:5" x14ac:dyDescent="0.25">
      <c r="C1" s="1">
        <v>45658</v>
      </c>
      <c r="D1">
        <v>98</v>
      </c>
      <c r="E1">
        <v>300</v>
      </c>
    </row>
    <row r="2" spans="3:5" x14ac:dyDescent="0.25">
      <c r="C2" s="1">
        <v>45689</v>
      </c>
      <c r="D2">
        <v>95</v>
      </c>
      <c r="E2">
        <v>0</v>
      </c>
    </row>
    <row r="3" spans="3:5" x14ac:dyDescent="0.25">
      <c r="C3" s="1">
        <v>45717</v>
      </c>
      <c r="D3">
        <v>102</v>
      </c>
      <c r="E3">
        <v>0</v>
      </c>
    </row>
    <row r="4" spans="3:5" x14ac:dyDescent="0.25">
      <c r="C4" s="1">
        <v>45748</v>
      </c>
      <c r="D4">
        <v>103</v>
      </c>
      <c r="E4">
        <v>150</v>
      </c>
    </row>
    <row r="5" spans="3:5" x14ac:dyDescent="0.25">
      <c r="C5" s="1">
        <v>45778</v>
      </c>
      <c r="D5">
        <v>102</v>
      </c>
      <c r="E5">
        <v>100</v>
      </c>
    </row>
    <row r="6" spans="3:5" x14ac:dyDescent="0.25">
      <c r="C6" s="1">
        <v>45809</v>
      </c>
      <c r="D6">
        <v>100</v>
      </c>
      <c r="E6">
        <v>50</v>
      </c>
    </row>
    <row r="7" spans="3:5" x14ac:dyDescent="0.25">
      <c r="C7" s="1">
        <v>45839</v>
      </c>
      <c r="D7">
        <v>98</v>
      </c>
      <c r="E7">
        <v>300</v>
      </c>
    </row>
    <row r="8" spans="3:5" x14ac:dyDescent="0.25">
      <c r="C8" s="1">
        <v>45870</v>
      </c>
      <c r="D8">
        <v>99</v>
      </c>
      <c r="E8">
        <v>0</v>
      </c>
    </row>
    <row r="9" spans="3:5" x14ac:dyDescent="0.25">
      <c r="C9" s="1">
        <v>45901</v>
      </c>
      <c r="D9">
        <v>103</v>
      </c>
      <c r="E9">
        <v>0</v>
      </c>
    </row>
    <row r="10" spans="3:5" x14ac:dyDescent="0.25">
      <c r="C10" s="1">
        <v>45931</v>
      </c>
      <c r="D10">
        <v>100</v>
      </c>
      <c r="E10">
        <v>150</v>
      </c>
    </row>
    <row r="11" spans="3:5" x14ac:dyDescent="0.25">
      <c r="C11" s="1">
        <v>45962</v>
      </c>
      <c r="D11">
        <v>95</v>
      </c>
      <c r="E11">
        <v>150</v>
      </c>
    </row>
    <row r="12" spans="3:5" x14ac:dyDescent="0.25">
      <c r="C12" s="1">
        <v>45992</v>
      </c>
      <c r="D12">
        <v>105</v>
      </c>
      <c r="E12">
        <v>0</v>
      </c>
    </row>
    <row r="13" spans="3:5" x14ac:dyDescent="0.25">
      <c r="C13" t="s">
        <v>87</v>
      </c>
      <c r="D13">
        <f>+SUM(D1:D12)</f>
        <v>1200</v>
      </c>
      <c r="E13">
        <f>+SUM(E1:E12)</f>
        <v>1200</v>
      </c>
    </row>
    <row r="14" spans="3:5" x14ac:dyDescent="0.25">
      <c r="C14" t="s">
        <v>84</v>
      </c>
      <c r="D14">
        <f>+D13/12</f>
        <v>100</v>
      </c>
      <c r="E14">
        <f>+E13/12</f>
        <v>100</v>
      </c>
    </row>
    <row r="15" spans="3:5" x14ac:dyDescent="0.25">
      <c r="C15" t="s">
        <v>85</v>
      </c>
      <c r="D15">
        <f>+_xlfn.STDEV.S(D1:D12)</f>
        <v>3.1622776601683795</v>
      </c>
      <c r="E15">
        <f>+_xlfn.STDEV.S(E1:E12)</f>
        <v>112.81521496355325</v>
      </c>
    </row>
    <row r="16" spans="3:5" x14ac:dyDescent="0.25">
      <c r="C16" t="s">
        <v>86</v>
      </c>
      <c r="D16" s="17">
        <f>+D15/D14</f>
        <v>3.1622776601683798E-2</v>
      </c>
      <c r="E16" s="17">
        <f>+E15/E14</f>
        <v>1.1281521496355325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Hoja1 (2)</vt:lpstr>
      <vt:lpstr>Hoja3</vt:lpstr>
      <vt:lpstr>Hoja4</vt:lpstr>
      <vt:lpstr>Hoja5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Najera</dc:creator>
  <cp:lastModifiedBy>Santiago Najera</cp:lastModifiedBy>
  <dcterms:created xsi:type="dcterms:W3CDTF">2026-07-01T13:25:31Z</dcterms:created>
  <dcterms:modified xsi:type="dcterms:W3CDTF">2026-07-02T13:25:26Z</dcterms:modified>
</cp:coreProperties>
</file>