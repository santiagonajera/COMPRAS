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44690A25-2CBE-4B6C-82C9-204AFD01D05C}" xr6:coauthVersionLast="47" xr6:coauthVersionMax="47" xr10:uidLastSave="{00000000-0000-0000-0000-000000000000}"/>
  <bookViews>
    <workbookView xWindow="19120" yWindow="-80" windowWidth="19360" windowHeight="10360" tabRatio="500" activeTab="1" xr2:uid="{00000000-000D-0000-FFFF-FFFF00000000}"/>
  </bookViews>
  <sheets>
    <sheet name="Ventas Mensuales" sheetId="1" r:id="rId1"/>
    <sheet name="Hoja1" sheetId="5" r:id="rId2"/>
    <sheet name="Ingresos USD" sheetId="2" r:id="rId3"/>
    <sheet name="Resumen Anual" sheetId="3" r:id="rId4"/>
    <sheet name="Catálog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2" i="5" l="1"/>
  <c r="E62" i="5" s="1"/>
  <c r="D62" i="5"/>
  <c r="C63" i="5"/>
  <c r="E63" i="5" s="1"/>
  <c r="D63" i="5"/>
  <c r="C64" i="5"/>
  <c r="D64" i="5"/>
  <c r="E64" i="5"/>
  <c r="C65" i="5"/>
  <c r="D65" i="5"/>
  <c r="E65" i="5" s="1"/>
  <c r="C66" i="5"/>
  <c r="D66" i="5"/>
  <c r="E66" i="5"/>
  <c r="C67" i="5"/>
  <c r="E67" i="5" s="1"/>
  <c r="D67" i="5"/>
  <c r="C68" i="5"/>
  <c r="D68" i="5"/>
  <c r="E68" i="5"/>
  <c r="C69" i="5"/>
  <c r="E69" i="5" s="1"/>
  <c r="D69" i="5"/>
  <c r="C70" i="5"/>
  <c r="D70" i="5"/>
  <c r="E70" i="5"/>
  <c r="C71" i="5"/>
  <c r="D71" i="5"/>
  <c r="E71" i="5"/>
  <c r="C72" i="5"/>
  <c r="D72" i="5"/>
  <c r="E72" i="5"/>
  <c r="C73" i="5"/>
  <c r="E73" i="5" s="1"/>
  <c r="D73" i="5"/>
  <c r="C74" i="5"/>
  <c r="D74" i="5"/>
  <c r="E74" i="5"/>
  <c r="C75" i="5"/>
  <c r="E75" i="5" s="1"/>
  <c r="D75" i="5"/>
  <c r="C76" i="5"/>
  <c r="E76" i="5" s="1"/>
  <c r="D76" i="5"/>
  <c r="C77" i="5"/>
  <c r="E77" i="5" s="1"/>
  <c r="D77" i="5"/>
  <c r="C78" i="5"/>
  <c r="D78" i="5"/>
  <c r="E78" i="5"/>
  <c r="C79" i="5"/>
  <c r="D79" i="5"/>
  <c r="E79" i="5" s="1"/>
  <c r="C80" i="5"/>
  <c r="D80" i="5"/>
  <c r="E80" i="5"/>
  <c r="C81" i="5"/>
  <c r="E81" i="5" s="1"/>
  <c r="D81" i="5"/>
  <c r="C82" i="5"/>
  <c r="E82" i="5" s="1"/>
  <c r="D82" i="5"/>
  <c r="C83" i="5"/>
  <c r="E83" i="5" s="1"/>
  <c r="D83" i="5"/>
  <c r="C84" i="5"/>
  <c r="E84" i="5" s="1"/>
  <c r="D84" i="5"/>
  <c r="C85" i="5"/>
  <c r="E85" i="5" s="1"/>
  <c r="D85" i="5"/>
  <c r="C86" i="5"/>
  <c r="D86" i="5"/>
  <c r="E86" i="5"/>
  <c r="C87" i="5"/>
  <c r="E87" i="5" s="1"/>
  <c r="D87" i="5"/>
  <c r="C88" i="5"/>
  <c r="E88" i="5" s="1"/>
  <c r="D88" i="5"/>
  <c r="C89" i="5"/>
  <c r="D89" i="5"/>
  <c r="E89" i="5" s="1"/>
  <c r="C90" i="5"/>
  <c r="E90" i="5" s="1"/>
  <c r="D90" i="5"/>
  <c r="C91" i="5"/>
  <c r="D91" i="5"/>
  <c r="E91" i="5"/>
  <c r="C92" i="5"/>
  <c r="E92" i="5" s="1"/>
  <c r="D92" i="5"/>
  <c r="C93" i="5"/>
  <c r="E93" i="5" s="1"/>
  <c r="D93" i="5"/>
  <c r="C94" i="5"/>
  <c r="D94" i="5"/>
  <c r="E94" i="5"/>
  <c r="C95" i="5"/>
  <c r="E95" i="5" s="1"/>
  <c r="D95" i="5"/>
  <c r="C96" i="5"/>
  <c r="E96" i="5" s="1"/>
  <c r="D96" i="5"/>
  <c r="C97" i="5"/>
  <c r="E97" i="5" s="1"/>
  <c r="D97" i="5"/>
  <c r="C98" i="5"/>
  <c r="E98" i="5" s="1"/>
  <c r="D98" i="5"/>
  <c r="C99" i="5"/>
  <c r="E99" i="5" s="1"/>
  <c r="D99" i="5"/>
  <c r="C100" i="5"/>
  <c r="D100" i="5"/>
  <c r="E100" i="5"/>
  <c r="C101" i="5"/>
  <c r="E101" i="5" s="1"/>
  <c r="D101" i="5"/>
  <c r="C102" i="5"/>
  <c r="D102" i="5"/>
  <c r="E102" i="5"/>
  <c r="C103" i="5"/>
  <c r="E103" i="5" s="1"/>
  <c r="D103" i="5"/>
  <c r="C104" i="5"/>
  <c r="E104" i="5" s="1"/>
  <c r="D104" i="5"/>
  <c r="C105" i="5"/>
  <c r="E105" i="5" s="1"/>
  <c r="D105" i="5"/>
  <c r="C106" i="5"/>
  <c r="E106" i="5" s="1"/>
  <c r="D106" i="5"/>
  <c r="C107" i="5"/>
  <c r="D107" i="5"/>
  <c r="E107" i="5"/>
  <c r="C108" i="5"/>
  <c r="E108" i="5" s="1"/>
  <c r="D108" i="5"/>
  <c r="C109" i="5"/>
  <c r="E109" i="5" s="1"/>
  <c r="D109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2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14" i="5"/>
  <c r="D3" i="5"/>
  <c r="D4" i="5"/>
  <c r="D5" i="5"/>
  <c r="D6" i="5"/>
  <c r="D7" i="5"/>
  <c r="D8" i="5"/>
  <c r="D9" i="5"/>
  <c r="D10" i="5"/>
  <c r="D11" i="5"/>
  <c r="D12" i="5"/>
  <c r="D13" i="5"/>
  <c r="D2" i="5"/>
  <c r="V3" i="5"/>
  <c r="V4" i="5"/>
  <c r="V5" i="5"/>
  <c r="V6" i="5"/>
  <c r="V7" i="5"/>
  <c r="V8" i="5"/>
  <c r="V9" i="5"/>
  <c r="V10" i="5"/>
  <c r="V11" i="5"/>
  <c r="V12" i="5"/>
  <c r="V13" i="5"/>
  <c r="V2" i="5"/>
  <c r="R2" i="5"/>
  <c r="S2" i="5"/>
  <c r="T2" i="5"/>
  <c r="U2" i="5"/>
  <c r="R3" i="5"/>
  <c r="S3" i="5"/>
  <c r="T3" i="5"/>
  <c r="U3" i="5"/>
  <c r="R4" i="5"/>
  <c r="S4" i="5"/>
  <c r="T4" i="5"/>
  <c r="U4" i="5"/>
  <c r="R5" i="5"/>
  <c r="S5" i="5"/>
  <c r="T5" i="5"/>
  <c r="U5" i="5"/>
  <c r="R6" i="5"/>
  <c r="S6" i="5"/>
  <c r="T6" i="5"/>
  <c r="U6" i="5"/>
  <c r="R7" i="5"/>
  <c r="S7" i="5"/>
  <c r="T7" i="5"/>
  <c r="U7" i="5"/>
  <c r="R8" i="5"/>
  <c r="S8" i="5"/>
  <c r="T8" i="5"/>
  <c r="U8" i="5"/>
  <c r="R9" i="5"/>
  <c r="S9" i="5"/>
  <c r="T9" i="5"/>
  <c r="U9" i="5"/>
  <c r="R10" i="5"/>
  <c r="S10" i="5"/>
  <c r="T10" i="5"/>
  <c r="U10" i="5"/>
  <c r="R11" i="5"/>
  <c r="S11" i="5"/>
  <c r="T11" i="5"/>
  <c r="U11" i="5"/>
  <c r="R12" i="5"/>
  <c r="S12" i="5"/>
  <c r="T12" i="5"/>
  <c r="U12" i="5"/>
  <c r="R13" i="5"/>
  <c r="S13" i="5"/>
  <c r="T13" i="5"/>
  <c r="U13" i="5"/>
  <c r="Q3" i="5"/>
  <c r="Q4" i="5"/>
  <c r="Q5" i="5"/>
  <c r="Q6" i="5"/>
  <c r="Q7" i="5"/>
  <c r="Q8" i="5"/>
  <c r="Q9" i="5"/>
  <c r="Q10" i="5"/>
  <c r="Q11" i="5"/>
  <c r="Q12" i="5"/>
  <c r="Q13" i="5"/>
  <c r="Q2" i="5"/>
  <c r="L15" i="5"/>
  <c r="M15" i="5"/>
  <c r="N15" i="5"/>
  <c r="O15" i="5"/>
  <c r="K15" i="5"/>
  <c r="K3" i="5"/>
  <c r="L3" i="5"/>
  <c r="M3" i="5"/>
  <c r="N3" i="5"/>
  <c r="O3" i="5"/>
  <c r="K4" i="5"/>
  <c r="L4" i="5"/>
  <c r="M4" i="5"/>
  <c r="N4" i="5"/>
  <c r="O4" i="5"/>
  <c r="K5" i="5"/>
  <c r="L5" i="5"/>
  <c r="M5" i="5"/>
  <c r="N5" i="5"/>
  <c r="O5" i="5"/>
  <c r="K6" i="5"/>
  <c r="L6" i="5"/>
  <c r="M6" i="5"/>
  <c r="N6" i="5"/>
  <c r="O6" i="5"/>
  <c r="K7" i="5"/>
  <c r="L7" i="5"/>
  <c r="M7" i="5"/>
  <c r="N7" i="5"/>
  <c r="O7" i="5"/>
  <c r="K8" i="5"/>
  <c r="L8" i="5"/>
  <c r="M8" i="5"/>
  <c r="N8" i="5"/>
  <c r="O8" i="5"/>
  <c r="K9" i="5"/>
  <c r="L9" i="5"/>
  <c r="M9" i="5"/>
  <c r="N9" i="5"/>
  <c r="O9" i="5"/>
  <c r="K10" i="5"/>
  <c r="L10" i="5"/>
  <c r="M10" i="5"/>
  <c r="N10" i="5"/>
  <c r="O10" i="5"/>
  <c r="K11" i="5"/>
  <c r="L11" i="5"/>
  <c r="M11" i="5"/>
  <c r="N11" i="5"/>
  <c r="O11" i="5"/>
  <c r="K12" i="5"/>
  <c r="L12" i="5"/>
  <c r="M12" i="5"/>
  <c r="N12" i="5"/>
  <c r="O12" i="5"/>
  <c r="K13" i="5"/>
  <c r="L13" i="5"/>
  <c r="M13" i="5"/>
  <c r="N13" i="5"/>
  <c r="O13" i="5"/>
  <c r="O2" i="5"/>
  <c r="N2" i="5"/>
  <c r="M2" i="5"/>
  <c r="L2" i="5"/>
  <c r="K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G3" i="5"/>
  <c r="G2" i="5"/>
  <c r="J9" i="3"/>
  <c r="H9" i="3"/>
  <c r="F9" i="3"/>
  <c r="D9" i="3"/>
  <c r="B9" i="3"/>
  <c r="L9" i="3" s="1"/>
  <c r="J8" i="3"/>
  <c r="H8" i="3"/>
  <c r="F8" i="3"/>
  <c r="D8" i="3"/>
  <c r="B8" i="3"/>
  <c r="L8" i="3" s="1"/>
  <c r="J7" i="3"/>
  <c r="H7" i="3"/>
  <c r="F7" i="3"/>
  <c r="D7" i="3"/>
  <c r="B7" i="3"/>
  <c r="L7" i="3" s="1"/>
  <c r="J6" i="3"/>
  <c r="H6" i="3"/>
  <c r="F6" i="3"/>
  <c r="D6" i="3"/>
  <c r="B6" i="3"/>
  <c r="L6" i="3" s="1"/>
  <c r="J5" i="3"/>
  <c r="J10" i="3" s="1"/>
  <c r="H5" i="3"/>
  <c r="H10" i="3" s="1"/>
  <c r="F5" i="3"/>
  <c r="F10" i="3" s="1"/>
  <c r="D5" i="3"/>
  <c r="D10" i="3" s="1"/>
  <c r="B5" i="3"/>
  <c r="H64" i="2"/>
  <c r="G64" i="2"/>
  <c r="F64" i="2"/>
  <c r="E64" i="2"/>
  <c r="D64" i="2"/>
  <c r="H63" i="2"/>
  <c r="G63" i="2"/>
  <c r="F63" i="2"/>
  <c r="E63" i="2"/>
  <c r="D63" i="2"/>
  <c r="H62" i="2"/>
  <c r="G62" i="2"/>
  <c r="F62" i="2"/>
  <c r="E62" i="2"/>
  <c r="D62" i="2"/>
  <c r="H61" i="2"/>
  <c r="G61" i="2"/>
  <c r="F61" i="2"/>
  <c r="E61" i="2"/>
  <c r="D61" i="2"/>
  <c r="H60" i="2"/>
  <c r="G60" i="2"/>
  <c r="F60" i="2"/>
  <c r="E60" i="2"/>
  <c r="D60" i="2"/>
  <c r="H59" i="2"/>
  <c r="G59" i="2"/>
  <c r="F59" i="2"/>
  <c r="E59" i="2"/>
  <c r="D59" i="2"/>
  <c r="H58" i="2"/>
  <c r="G58" i="2"/>
  <c r="F58" i="2"/>
  <c r="E58" i="2"/>
  <c r="D58" i="2"/>
  <c r="H57" i="2"/>
  <c r="G57" i="2"/>
  <c r="F57" i="2"/>
  <c r="E57" i="2"/>
  <c r="D57" i="2"/>
  <c r="H56" i="2"/>
  <c r="G56" i="2"/>
  <c r="F56" i="2"/>
  <c r="E56" i="2"/>
  <c r="D56" i="2"/>
  <c r="H55" i="2"/>
  <c r="G55" i="2"/>
  <c r="F55" i="2"/>
  <c r="E55" i="2"/>
  <c r="D55" i="2"/>
  <c r="H54" i="2"/>
  <c r="G54" i="2"/>
  <c r="F54" i="2"/>
  <c r="E54" i="2"/>
  <c r="D54" i="2"/>
  <c r="H53" i="2"/>
  <c r="K9" i="3" s="1"/>
  <c r="G53" i="2"/>
  <c r="K8" i="3" s="1"/>
  <c r="F53" i="2"/>
  <c r="K7" i="3" s="1"/>
  <c r="E53" i="2"/>
  <c r="K6" i="3" s="1"/>
  <c r="D53" i="2"/>
  <c r="K5" i="3" s="1"/>
  <c r="K10" i="3" s="1"/>
  <c r="H52" i="2"/>
  <c r="G52" i="2"/>
  <c r="F52" i="2"/>
  <c r="E52" i="2"/>
  <c r="D52" i="2"/>
  <c r="H51" i="2"/>
  <c r="G51" i="2"/>
  <c r="F51" i="2"/>
  <c r="E51" i="2"/>
  <c r="D51" i="2"/>
  <c r="H50" i="2"/>
  <c r="G50" i="2"/>
  <c r="F50" i="2"/>
  <c r="E50" i="2"/>
  <c r="D50" i="2"/>
  <c r="H49" i="2"/>
  <c r="G49" i="2"/>
  <c r="F49" i="2"/>
  <c r="E49" i="2"/>
  <c r="D49" i="2"/>
  <c r="H48" i="2"/>
  <c r="G48" i="2"/>
  <c r="F48" i="2"/>
  <c r="E48" i="2"/>
  <c r="D48" i="2"/>
  <c r="H47" i="2"/>
  <c r="G47" i="2"/>
  <c r="F47" i="2"/>
  <c r="E47" i="2"/>
  <c r="D47" i="2"/>
  <c r="H46" i="2"/>
  <c r="G46" i="2"/>
  <c r="F46" i="2"/>
  <c r="E46" i="2"/>
  <c r="D46" i="2"/>
  <c r="H45" i="2"/>
  <c r="G45" i="2"/>
  <c r="I8" i="3" s="1"/>
  <c r="F45" i="2"/>
  <c r="I7" i="3" s="1"/>
  <c r="E45" i="2"/>
  <c r="I6" i="3" s="1"/>
  <c r="D45" i="2"/>
  <c r="I5" i="3" s="1"/>
  <c r="H44" i="2"/>
  <c r="I9" i="3" s="1"/>
  <c r="G44" i="2"/>
  <c r="F44" i="2"/>
  <c r="E44" i="2"/>
  <c r="D44" i="2"/>
  <c r="H43" i="2"/>
  <c r="G43" i="2"/>
  <c r="F43" i="2"/>
  <c r="E43" i="2"/>
  <c r="D43" i="2"/>
  <c r="H42" i="2"/>
  <c r="G42" i="2"/>
  <c r="F42" i="2"/>
  <c r="E42" i="2"/>
  <c r="D42" i="2"/>
  <c r="H41" i="2"/>
  <c r="G41" i="2"/>
  <c r="F41" i="2"/>
  <c r="E41" i="2"/>
  <c r="D41" i="2"/>
  <c r="H40" i="2"/>
  <c r="G40" i="2"/>
  <c r="F40" i="2"/>
  <c r="E40" i="2"/>
  <c r="D40" i="2"/>
  <c r="H39" i="2"/>
  <c r="G39" i="2"/>
  <c r="F39" i="2"/>
  <c r="E39" i="2"/>
  <c r="D39" i="2"/>
  <c r="H38" i="2"/>
  <c r="G38" i="2"/>
  <c r="F38" i="2"/>
  <c r="E38" i="2"/>
  <c r="D38" i="2"/>
  <c r="H37" i="2"/>
  <c r="G37" i="2"/>
  <c r="F37" i="2"/>
  <c r="E37" i="2"/>
  <c r="D37" i="2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9" i="3" s="1"/>
  <c r="G29" i="2"/>
  <c r="G8" i="3" s="1"/>
  <c r="F29" i="2"/>
  <c r="G7" i="3" s="1"/>
  <c r="E29" i="2"/>
  <c r="G6" i="3" s="1"/>
  <c r="D29" i="2"/>
  <c r="G5" i="3" s="1"/>
  <c r="G10" i="3" s="1"/>
  <c r="H28" i="2"/>
  <c r="G28" i="2"/>
  <c r="F28" i="2"/>
  <c r="E28" i="2"/>
  <c r="D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2" i="2"/>
  <c r="G22" i="2"/>
  <c r="F22" i="2"/>
  <c r="E22" i="2"/>
  <c r="D22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E9" i="3" s="1"/>
  <c r="G17" i="2"/>
  <c r="E8" i="3" s="1"/>
  <c r="F17" i="2"/>
  <c r="E7" i="3" s="1"/>
  <c r="E17" i="2"/>
  <c r="E6" i="3" s="1"/>
  <c r="D17" i="2"/>
  <c r="E5" i="3" s="1"/>
  <c r="E10" i="3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H65" i="1"/>
  <c r="G65" i="1"/>
  <c r="F65" i="1"/>
  <c r="E65" i="1"/>
  <c r="D65" i="1"/>
  <c r="L5" i="3" l="1"/>
  <c r="L10" i="3" s="1"/>
  <c r="B10" i="3"/>
  <c r="C9" i="3"/>
  <c r="M9" i="3" s="1"/>
  <c r="H65" i="2"/>
  <c r="G65" i="2"/>
  <c r="C8" i="3"/>
  <c r="M8" i="3" s="1"/>
  <c r="F65" i="2"/>
  <c r="C7" i="3"/>
  <c r="M7" i="3" s="1"/>
  <c r="C6" i="3"/>
  <c r="M6" i="3" s="1"/>
  <c r="E65" i="2"/>
  <c r="C5" i="3"/>
  <c r="D65" i="2"/>
  <c r="I10" i="3"/>
  <c r="M5" i="3" l="1"/>
  <c r="M10" i="3" s="1"/>
  <c r="C10" i="3"/>
</calcChain>
</file>

<file path=xl/sharedStrings.xml><?xml version="1.0" encoding="utf-8"?>
<sst xmlns="http://schemas.openxmlformats.org/spreadsheetml/2006/main" count="225" uniqueCount="102">
  <si>
    <t>VENTAS MENSUALES – PRODUCTOS MÉDICOS DIÁLISIS</t>
  </si>
  <si>
    <t>Davita / Fresenius | 2020 – 2024 | Unidades vendidas por mes</t>
  </si>
  <si>
    <t>Año</t>
  </si>
  <si>
    <t>Mes</t>
  </si>
  <si>
    <t>Mes#</t>
  </si>
  <si>
    <t>DV-001
Concentrado Bicarbonato Diálisis 9.45L
(Litros)</t>
  </si>
  <si>
    <t>DV-002
Dializador FX80 Alto Flujo
(Unidades)</t>
  </si>
  <si>
    <t>DV-003
Catéter Doble Lumen Mahurkar 11.5Fr
(Unidades)</t>
  </si>
  <si>
    <t>DV-004
Solución Peritoneal Dianeal 2L 1.5%
(Bolsas)</t>
  </si>
  <si>
    <t>DV-005
Agujas Fístula AVF 15G x 25mm (caja x100)
(Cajas)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</si>
  <si>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</si>
  <si>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</si>
  <si>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</si>
  <si>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</si>
  <si>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</si>
  <si>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</si>
  <si>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</si>
  <si>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</si>
  <si>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</si>
  <si>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</si>
  <si>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</si>
  <si>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</si>
  <si>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</si>
  <si>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INGRESOS MENSUALES (USD) – PRODUCTOS MÉDICOS DIÁLISIS</t>
  </si>
  <si>
    <t>Davita / Fresenius | 2020 – 2024 | Ingresos en USD</t>
  </si>
  <si>
    <t>DV-001
Concentrado Bicarbonato Diálisis 9.45L
(USD)</t>
  </si>
  <si>
    <t>DV-002
Dializador FX80 Alto Flujo
(USD)</t>
  </si>
  <si>
    <t>DV-003
Catéter Doble Lumen Mahurkar 11.5Fr
(USD)</t>
  </si>
  <si>
    <t>DV-004
Solución Peritoneal Dianeal 2L 1.5%
(USD)</t>
  </si>
  <si>
    <t>DV-005
Agujas Fístula AVF 15G x 25mm (caja x100)
(USD)</t>
  </si>
  <si>
    <t>RESUMEN ANUAL DE VENTAS – UNIDADES E INGRESOS</t>
  </si>
  <si>
    <t>Davita / Fresenius | 2020 – 2024</t>
  </si>
  <si>
    <t>Producto</t>
  </si>
  <si>
    <t>2020 Uds</t>
  </si>
  <si>
    <t>2020 USD</t>
  </si>
  <si>
    <t>2021 Uds</t>
  </si>
  <si>
    <t>2021 USD</t>
  </si>
  <si>
    <t>2022 Uds</t>
  </si>
  <si>
    <t>2022 USD</t>
  </si>
  <si>
    <t>2023 Uds</t>
  </si>
  <si>
    <t>2023 USD</t>
  </si>
  <si>
    <t>2024 Uds</t>
  </si>
  <si>
    <t>2024 USD</t>
  </si>
  <si>
    <t>TOTAL Uds</t>
  </si>
  <si>
    <t>TOTAL USD</t>
  </si>
  <si>
    <t>DV-001 – Concentrado Bicarbonato Diálisis 9.45L</t>
  </si>
  <si>
    <t>DV-002 – Dializador FX80 Alto Flujo</t>
  </si>
  <si>
    <t>DV-003 – Catéter Doble Lumen Mahurkar 11.5Fr</t>
  </si>
  <si>
    <t>DV-004 – Solución Peritoneal Dianeal 2L 1.5%</t>
  </si>
  <si>
    <t>DV-005 – Agujas Fístula AVF 15G x 25mm (caja x100)</t>
  </si>
  <si>
    <t>TOTAL GENERAL</t>
  </si>
  <si>
    <t>CATÁLOGO DE PRODUCTOS – PRECIOS UNITARIOS</t>
  </si>
  <si>
    <t>Código</t>
  </si>
  <si>
    <t>Descripción</t>
  </si>
  <si>
    <t>Proveedor</t>
  </si>
  <si>
    <t>Unidad</t>
  </si>
  <si>
    <t>Precio Unit. (USD)</t>
  </si>
  <si>
    <t>Notas</t>
  </si>
  <si>
    <t>DV-001</t>
  </si>
  <si>
    <t>Concentrado Bicarbonato Diálisis 9.45L</t>
  </si>
  <si>
    <t>Davita</t>
  </si>
  <si>
    <t>Litros</t>
  </si>
  <si>
    <t>Concentrado ácido para hemodiálisis bicarbonato</t>
  </si>
  <si>
    <t>DV-002</t>
  </si>
  <si>
    <t>Dializador FX80 Alto Flujo</t>
  </si>
  <si>
    <t>Fresenius</t>
  </si>
  <si>
    <t>Unidades</t>
  </si>
  <si>
    <t>Membrana polisulfona, esterilización por vapor</t>
  </si>
  <si>
    <t>DV-003</t>
  </si>
  <si>
    <t>Catéter Doble Lumen Mahurkar 11.5Fr</t>
  </si>
  <si>
    <t>Acceso vascular temporal; longitud 20cm</t>
  </si>
  <si>
    <t>DV-004</t>
  </si>
  <si>
    <t>Solución Peritoneal Dianeal 2L 1.5%</t>
  </si>
  <si>
    <t>Bolsas</t>
  </si>
  <si>
    <t>Diálisis peritoneal ambulatoria continua (CAPD)</t>
  </si>
  <si>
    <t>DV-005</t>
  </si>
  <si>
    <t>Agujas Fístula AVF 15G x 25mm (caja x100)</t>
  </si>
  <si>
    <t>Cajas</t>
  </si>
  <si>
    <t>Aguja tipo Lancet, bisel corto, 100 uds/caja</t>
  </si>
  <si>
    <t>Tendencia</t>
  </si>
  <si>
    <t>ß0</t>
  </si>
  <si>
    <t>ß1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</si>
  <si>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</si>
  <si>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</si>
  <si>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</si>
  <si>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</si>
  <si>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</si>
  <si>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</si>
  <si>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</si>
  <si>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</si>
  <si>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</si>
  <si>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</si>
  <si>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</si>
  <si>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</si>
  <si>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2020</t>
  </si>
  <si>
    <t>Año 2021</t>
  </si>
  <si>
    <t>Año 2022</t>
  </si>
  <si>
    <t>Año 2023</t>
  </si>
  <si>
    <t>Año 2024</t>
  </si>
  <si>
    <t>Promedio</t>
  </si>
  <si>
    <t>Estacionalidad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</si>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</sst>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$#,##0.00"/>
    <numFmt numFmtId="165" formatCode="\$#,##0"/>
  </numFmts>
  <fonts count="10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3"/>
      <color rgb="FFFFFFFF"/>
      <name val="Arial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D1D1B"/>
        <bgColor rgb="FF333300"/>
      </patternFill>
    </fill>
    <fill>
      <patternFill patternType="solid">
        <fgColor rgb="FF878785"/>
        <bgColor rgb="FF969696"/>
      </patternFill>
    </fill>
    <fill>
      <patternFill patternType="solid">
        <fgColor rgb="FF009FE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31">
    <xf numFmtId="0" fontId="0" fillId="0" borderId="0" xfId="0"/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5" borderId="1" xfId="0" applyFont="1" applyFill="1" applyBorder="1"/>
    <xf numFmtId="165" fontId="6" fillId="5" borderId="1" xfId="0" applyNumberFormat="1" applyFont="1" applyFill="1" applyBorder="1" applyAlignment="1">
      <alignment horizontal="right"/>
    </xf>
    <xf numFmtId="3" fontId="7" fillId="7" borderId="1" xfId="0" applyNumberFormat="1" applyFont="1" applyFill="1" applyBorder="1" applyAlignment="1">
      <alignment horizontal="right"/>
    </xf>
    <xf numFmtId="165" fontId="7" fillId="7" borderId="1" xfId="0" applyNumberFormat="1" applyFont="1" applyFill="1" applyBorder="1" applyAlignment="1">
      <alignment horizontal="right"/>
    </xf>
    <xf numFmtId="0" fontId="6" fillId="6" borderId="1" xfId="0" applyFont="1" applyFill="1" applyBorder="1"/>
    <xf numFmtId="165" fontId="6" fillId="6" borderId="1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7" fontId="0" fillId="0" borderId="0" xfId="0" applyNumberFormat="1"/>
    <xf numFmtId="43" fontId="1" fillId="0" borderId="0" xfId="1"/>
    <xf numFmtId="3" fontId="0" fillId="0" borderId="0" xfId="0" applyNumberFormat="1"/>
    <xf numFmtId="9" fontId="1" fillId="0" borderId="0" xfId="2"/>
    <xf numFmtId="9" fontId="0" fillId="0" borderId="0" xfId="0" applyNumberFormat="1"/>
    <xf numFmtId="9" fontId="0" fillId="8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5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'Ventas Mensuales'!$D$5:$D$64</c:f>
              <c:numCache>
                <c:formatCode>#,##0</c:formatCode>
                <c:ptCount val="60"/>
                <c:pt idx="0">
                  <c:v>10796</c:v>
                </c:pt>
                <c:pt idx="1">
                  <c:v>10488</c:v>
                </c:pt>
                <c:pt idx="2">
                  <c:v>10887</c:v>
                </c:pt>
                <c:pt idx="3">
                  <c:v>11845</c:v>
                </c:pt>
                <c:pt idx="4">
                  <c:v>12839</c:v>
                </c:pt>
                <c:pt idx="5">
                  <c:v>12271</c:v>
                </c:pt>
                <c:pt idx="6">
                  <c:v>13597</c:v>
                </c:pt>
                <c:pt idx="7">
                  <c:v>13310</c:v>
                </c:pt>
                <c:pt idx="8">
                  <c:v>13136</c:v>
                </c:pt>
                <c:pt idx="9">
                  <c:v>11717</c:v>
                </c:pt>
                <c:pt idx="10">
                  <c:v>11516</c:v>
                </c:pt>
                <c:pt idx="11">
                  <c:v>12576</c:v>
                </c:pt>
                <c:pt idx="12">
                  <c:v>12184</c:v>
                </c:pt>
                <c:pt idx="13">
                  <c:v>11396</c:v>
                </c:pt>
                <c:pt idx="14">
                  <c:v>11634</c:v>
                </c:pt>
                <c:pt idx="15">
                  <c:v>12373</c:v>
                </c:pt>
                <c:pt idx="16">
                  <c:v>13225</c:v>
                </c:pt>
                <c:pt idx="17">
                  <c:v>12877</c:v>
                </c:pt>
                <c:pt idx="18">
                  <c:v>13001</c:v>
                </c:pt>
                <c:pt idx="19">
                  <c:v>13856</c:v>
                </c:pt>
                <c:pt idx="20">
                  <c:v>12547</c:v>
                </c:pt>
                <c:pt idx="21">
                  <c:v>13392</c:v>
                </c:pt>
                <c:pt idx="22">
                  <c:v>13340</c:v>
                </c:pt>
                <c:pt idx="23">
                  <c:v>14009</c:v>
                </c:pt>
                <c:pt idx="24">
                  <c:v>11994</c:v>
                </c:pt>
                <c:pt idx="25">
                  <c:v>10805</c:v>
                </c:pt>
                <c:pt idx="26">
                  <c:v>12043</c:v>
                </c:pt>
                <c:pt idx="27">
                  <c:v>12790</c:v>
                </c:pt>
                <c:pt idx="28">
                  <c:v>13289</c:v>
                </c:pt>
                <c:pt idx="29">
                  <c:v>13101</c:v>
                </c:pt>
                <c:pt idx="30">
                  <c:v>15246</c:v>
                </c:pt>
                <c:pt idx="31">
                  <c:v>13754</c:v>
                </c:pt>
                <c:pt idx="32">
                  <c:v>12913</c:v>
                </c:pt>
                <c:pt idx="33">
                  <c:v>12426</c:v>
                </c:pt>
                <c:pt idx="34">
                  <c:v>13712</c:v>
                </c:pt>
                <c:pt idx="35">
                  <c:v>12805</c:v>
                </c:pt>
                <c:pt idx="36">
                  <c:v>12151</c:v>
                </c:pt>
                <c:pt idx="37">
                  <c:v>11031</c:v>
                </c:pt>
                <c:pt idx="38">
                  <c:v>12496</c:v>
                </c:pt>
                <c:pt idx="39">
                  <c:v>13808</c:v>
                </c:pt>
                <c:pt idx="40">
                  <c:v>14606</c:v>
                </c:pt>
                <c:pt idx="41">
                  <c:v>13345</c:v>
                </c:pt>
                <c:pt idx="42">
                  <c:v>13845</c:v>
                </c:pt>
                <c:pt idx="43">
                  <c:v>15813</c:v>
                </c:pt>
                <c:pt idx="44">
                  <c:v>15178</c:v>
                </c:pt>
                <c:pt idx="45">
                  <c:v>13769</c:v>
                </c:pt>
                <c:pt idx="46">
                  <c:v>12177</c:v>
                </c:pt>
                <c:pt idx="47">
                  <c:v>12885</c:v>
                </c:pt>
                <c:pt idx="48">
                  <c:v>11257</c:v>
                </c:pt>
                <c:pt idx="49">
                  <c:v>11397</c:v>
                </c:pt>
                <c:pt idx="50">
                  <c:v>11950</c:v>
                </c:pt>
                <c:pt idx="51">
                  <c:v>13709</c:v>
                </c:pt>
                <c:pt idx="52">
                  <c:v>14025</c:v>
                </c:pt>
                <c:pt idx="53">
                  <c:v>14051</c:v>
                </c:pt>
                <c:pt idx="54">
                  <c:v>14707</c:v>
                </c:pt>
                <c:pt idx="55">
                  <c:v>13379</c:v>
                </c:pt>
                <c:pt idx="56">
                  <c:v>14216</c:v>
                </c:pt>
                <c:pt idx="57">
                  <c:v>14077</c:v>
                </c:pt>
                <c:pt idx="58">
                  <c:v>11692</c:v>
                </c:pt>
                <c:pt idx="59">
                  <c:v>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7-4600-9CF7-8F59D6FD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14704"/>
        <c:axId val="90988960"/>
      </c:lineChart>
      <c:catAx>
        <c:axId val="6031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0988960"/>
        <c:crosses val="autoZero"/>
        <c:auto val="1"/>
        <c:lblAlgn val="ctr"/>
        <c:lblOffset val="100"/>
        <c:noMultiLvlLbl val="0"/>
      </c:catAx>
      <c:valAx>
        <c:axId val="909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0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295713035870515E-3"/>
                  <c:y val="-0.250930664916885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val>
            <c:numRef>
              <c:f>Hoja1!$B$2:$B$61</c:f>
              <c:numCache>
                <c:formatCode>#,##0</c:formatCode>
                <c:ptCount val="60"/>
                <c:pt idx="0">
                  <c:v>10796</c:v>
                </c:pt>
                <c:pt idx="1">
                  <c:v>10488</c:v>
                </c:pt>
                <c:pt idx="2">
                  <c:v>10887</c:v>
                </c:pt>
                <c:pt idx="3">
                  <c:v>11845</c:v>
                </c:pt>
                <c:pt idx="4">
                  <c:v>12839</c:v>
                </c:pt>
                <c:pt idx="5">
                  <c:v>12271</c:v>
                </c:pt>
                <c:pt idx="6">
                  <c:v>13597</c:v>
                </c:pt>
                <c:pt idx="7">
                  <c:v>13310</c:v>
                </c:pt>
                <c:pt idx="8">
                  <c:v>13136</c:v>
                </c:pt>
                <c:pt idx="9">
                  <c:v>11717</c:v>
                </c:pt>
                <c:pt idx="10">
                  <c:v>11516</c:v>
                </c:pt>
                <c:pt idx="11">
                  <c:v>12576</c:v>
                </c:pt>
                <c:pt idx="12">
                  <c:v>12184</c:v>
                </c:pt>
                <c:pt idx="13">
                  <c:v>11396</c:v>
                </c:pt>
                <c:pt idx="14">
                  <c:v>11634</c:v>
                </c:pt>
                <c:pt idx="15">
                  <c:v>12373</c:v>
                </c:pt>
                <c:pt idx="16">
                  <c:v>13225</c:v>
                </c:pt>
                <c:pt idx="17">
                  <c:v>12877</c:v>
                </c:pt>
                <c:pt idx="18">
                  <c:v>13001</c:v>
                </c:pt>
                <c:pt idx="19">
                  <c:v>13856</c:v>
                </c:pt>
                <c:pt idx="20">
                  <c:v>12547</c:v>
                </c:pt>
                <c:pt idx="21">
                  <c:v>13392</c:v>
                </c:pt>
                <c:pt idx="22">
                  <c:v>13340</c:v>
                </c:pt>
                <c:pt idx="23">
                  <c:v>14009</c:v>
                </c:pt>
                <c:pt idx="24">
                  <c:v>11994</c:v>
                </c:pt>
                <c:pt idx="25">
                  <c:v>10805</c:v>
                </c:pt>
                <c:pt idx="26">
                  <c:v>12043</c:v>
                </c:pt>
                <c:pt idx="27">
                  <c:v>12790</c:v>
                </c:pt>
                <c:pt idx="28">
                  <c:v>13289</c:v>
                </c:pt>
                <c:pt idx="29">
                  <c:v>13101</c:v>
                </c:pt>
                <c:pt idx="30">
                  <c:v>15246</c:v>
                </c:pt>
                <c:pt idx="31">
                  <c:v>13754</c:v>
                </c:pt>
                <c:pt idx="32">
                  <c:v>12913</c:v>
                </c:pt>
                <c:pt idx="33">
                  <c:v>12426</c:v>
                </c:pt>
                <c:pt idx="34">
                  <c:v>13712</c:v>
                </c:pt>
                <c:pt idx="35">
                  <c:v>12805</c:v>
                </c:pt>
                <c:pt idx="36">
                  <c:v>12151</c:v>
                </c:pt>
                <c:pt idx="37">
                  <c:v>11031</c:v>
                </c:pt>
                <c:pt idx="38">
                  <c:v>12496</c:v>
                </c:pt>
                <c:pt idx="39">
                  <c:v>13808</c:v>
                </c:pt>
                <c:pt idx="40">
                  <c:v>14606</c:v>
                </c:pt>
                <c:pt idx="41">
                  <c:v>13345</c:v>
                </c:pt>
                <c:pt idx="42">
                  <c:v>13845</c:v>
                </c:pt>
                <c:pt idx="43">
                  <c:v>15813</c:v>
                </c:pt>
                <c:pt idx="44">
                  <c:v>15178</c:v>
                </c:pt>
                <c:pt idx="45">
                  <c:v>13769</c:v>
                </c:pt>
                <c:pt idx="46">
                  <c:v>12177</c:v>
                </c:pt>
                <c:pt idx="47">
                  <c:v>12885</c:v>
                </c:pt>
                <c:pt idx="48">
                  <c:v>11257</c:v>
                </c:pt>
                <c:pt idx="49">
                  <c:v>11397</c:v>
                </c:pt>
                <c:pt idx="50">
                  <c:v>11950</c:v>
                </c:pt>
                <c:pt idx="51">
                  <c:v>13709</c:v>
                </c:pt>
                <c:pt idx="52">
                  <c:v>14025</c:v>
                </c:pt>
                <c:pt idx="53">
                  <c:v>14051</c:v>
                </c:pt>
                <c:pt idx="54">
                  <c:v>14707</c:v>
                </c:pt>
                <c:pt idx="55">
                  <c:v>13379</c:v>
                </c:pt>
                <c:pt idx="56">
                  <c:v>14216</c:v>
                </c:pt>
                <c:pt idx="57">
                  <c:v>14077</c:v>
                </c:pt>
                <c:pt idx="58">
                  <c:v>11692</c:v>
                </c:pt>
                <c:pt idx="59">
                  <c:v>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A-494B-98D8-38B8FC299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18416"/>
        <c:axId val="1878990912"/>
      </c:lineChart>
      <c:catAx>
        <c:axId val="60318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78990912"/>
        <c:crosses val="autoZero"/>
        <c:auto val="1"/>
        <c:lblAlgn val="ctr"/>
        <c:lblOffset val="100"/>
        <c:noMultiLvlLbl val="0"/>
      </c:catAx>
      <c:valAx>
        <c:axId val="18789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031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DV-001
Concentrado Bicarbonato Diálisis 9.45L
(Litros)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Hoja1!$B$2:$B$61</c:f>
              <c:numCache>
                <c:formatCode>#,##0</c:formatCode>
                <c:ptCount val="60"/>
                <c:pt idx="0">
                  <c:v>10796</c:v>
                </c:pt>
                <c:pt idx="1">
                  <c:v>10488</c:v>
                </c:pt>
                <c:pt idx="2">
                  <c:v>10887</c:v>
                </c:pt>
                <c:pt idx="3">
                  <c:v>11845</c:v>
                </c:pt>
                <c:pt idx="4">
                  <c:v>12839</c:v>
                </c:pt>
                <c:pt idx="5">
                  <c:v>12271</c:v>
                </c:pt>
                <c:pt idx="6">
                  <c:v>13597</c:v>
                </c:pt>
                <c:pt idx="7">
                  <c:v>13310</c:v>
                </c:pt>
                <c:pt idx="8">
                  <c:v>13136</c:v>
                </c:pt>
                <c:pt idx="9">
                  <c:v>11717</c:v>
                </c:pt>
                <c:pt idx="10">
                  <c:v>11516</c:v>
                </c:pt>
                <c:pt idx="11">
                  <c:v>12576</c:v>
                </c:pt>
                <c:pt idx="12">
                  <c:v>12184</c:v>
                </c:pt>
                <c:pt idx="13">
                  <c:v>11396</c:v>
                </c:pt>
                <c:pt idx="14">
                  <c:v>11634</c:v>
                </c:pt>
                <c:pt idx="15">
                  <c:v>12373</c:v>
                </c:pt>
                <c:pt idx="16">
                  <c:v>13225</c:v>
                </c:pt>
                <c:pt idx="17">
                  <c:v>12877</c:v>
                </c:pt>
                <c:pt idx="18">
                  <c:v>13001</c:v>
                </c:pt>
                <c:pt idx="19">
                  <c:v>13856</c:v>
                </c:pt>
                <c:pt idx="20">
                  <c:v>12547</c:v>
                </c:pt>
                <c:pt idx="21">
                  <c:v>13392</c:v>
                </c:pt>
                <c:pt idx="22">
                  <c:v>13340</c:v>
                </c:pt>
                <c:pt idx="23">
                  <c:v>14009</c:v>
                </c:pt>
                <c:pt idx="24">
                  <c:v>11994</c:v>
                </c:pt>
                <c:pt idx="25">
                  <c:v>10805</c:v>
                </c:pt>
                <c:pt idx="26">
                  <c:v>12043</c:v>
                </c:pt>
                <c:pt idx="27">
                  <c:v>12790</c:v>
                </c:pt>
                <c:pt idx="28">
                  <c:v>13289</c:v>
                </c:pt>
                <c:pt idx="29">
                  <c:v>13101</c:v>
                </c:pt>
                <c:pt idx="30">
                  <c:v>15246</c:v>
                </c:pt>
                <c:pt idx="31">
                  <c:v>13754</c:v>
                </c:pt>
                <c:pt idx="32">
                  <c:v>12913</c:v>
                </c:pt>
                <c:pt idx="33">
                  <c:v>12426</c:v>
                </c:pt>
                <c:pt idx="34">
                  <c:v>13712</c:v>
                </c:pt>
                <c:pt idx="35">
                  <c:v>12805</c:v>
                </c:pt>
                <c:pt idx="36">
                  <c:v>12151</c:v>
                </c:pt>
                <c:pt idx="37">
                  <c:v>11031</c:v>
                </c:pt>
                <c:pt idx="38">
                  <c:v>12496</c:v>
                </c:pt>
                <c:pt idx="39">
                  <c:v>13808</c:v>
                </c:pt>
                <c:pt idx="40">
                  <c:v>14606</c:v>
                </c:pt>
                <c:pt idx="41">
                  <c:v>13345</c:v>
                </c:pt>
                <c:pt idx="42">
                  <c:v>13845</c:v>
                </c:pt>
                <c:pt idx="43">
                  <c:v>15813</c:v>
                </c:pt>
                <c:pt idx="44">
                  <c:v>15178</c:v>
                </c:pt>
                <c:pt idx="45">
                  <c:v>13769</c:v>
                </c:pt>
                <c:pt idx="46">
                  <c:v>12177</c:v>
                </c:pt>
                <c:pt idx="47">
                  <c:v>12885</c:v>
                </c:pt>
                <c:pt idx="48">
                  <c:v>11257</c:v>
                </c:pt>
                <c:pt idx="49">
                  <c:v>11397</c:v>
                </c:pt>
                <c:pt idx="50">
                  <c:v>11950</c:v>
                </c:pt>
                <c:pt idx="51">
                  <c:v>13709</c:v>
                </c:pt>
                <c:pt idx="52">
                  <c:v>14025</c:v>
                </c:pt>
                <c:pt idx="53">
                  <c:v>14051</c:v>
                </c:pt>
                <c:pt idx="54">
                  <c:v>14707</c:v>
                </c:pt>
                <c:pt idx="55">
                  <c:v>13379</c:v>
                </c:pt>
                <c:pt idx="56">
                  <c:v>14216</c:v>
                </c:pt>
                <c:pt idx="57">
                  <c:v>14077</c:v>
                </c:pt>
                <c:pt idx="58">
                  <c:v>11692</c:v>
                </c:pt>
                <c:pt idx="59">
                  <c:v>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6-4246-AC11-5C5F296FCD1B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Tendencia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Hoja1!$C$2:$C$61</c:f>
              <c:numCache>
                <c:formatCode>_(* #,##0.00_);_(* \(#,##0.00\);_(* "-"??_);_(@_)</c:formatCode>
                <c:ptCount val="60"/>
                <c:pt idx="0">
                  <c:v>12047.305971492624</c:v>
                </c:pt>
                <c:pt idx="1">
                  <c:v>12076.013199630022</c:v>
                </c:pt>
                <c:pt idx="2">
                  <c:v>12102.868348532746</c:v>
                </c:pt>
                <c:pt idx="3">
                  <c:v>12131.575576670137</c:v>
                </c:pt>
                <c:pt idx="4">
                  <c:v>12159.356765190194</c:v>
                </c:pt>
                <c:pt idx="5">
                  <c:v>12188.063993327585</c:v>
                </c:pt>
                <c:pt idx="6">
                  <c:v>12215.845181847642</c:v>
                </c:pt>
                <c:pt idx="7">
                  <c:v>12244.552409985034</c:v>
                </c:pt>
                <c:pt idx="8">
                  <c:v>12273.259638122432</c:v>
                </c:pt>
                <c:pt idx="9">
                  <c:v>12301.040826642489</c:v>
                </c:pt>
                <c:pt idx="10">
                  <c:v>12329.74805477988</c:v>
                </c:pt>
                <c:pt idx="11">
                  <c:v>12357.529243299938</c:v>
                </c:pt>
                <c:pt idx="12">
                  <c:v>12386.236471437329</c:v>
                </c:pt>
                <c:pt idx="13">
                  <c:v>12414.943699574727</c:v>
                </c:pt>
                <c:pt idx="14">
                  <c:v>12440.872808860109</c:v>
                </c:pt>
                <c:pt idx="15">
                  <c:v>12469.580036997508</c:v>
                </c:pt>
                <c:pt idx="16">
                  <c:v>12497.361225517565</c:v>
                </c:pt>
                <c:pt idx="17">
                  <c:v>12526.068453654956</c:v>
                </c:pt>
                <c:pt idx="18">
                  <c:v>12553.849642175013</c:v>
                </c:pt>
                <c:pt idx="19">
                  <c:v>12582.556870312404</c:v>
                </c:pt>
                <c:pt idx="20">
                  <c:v>12611.264098449796</c:v>
                </c:pt>
                <c:pt idx="21">
                  <c:v>12639.04528696986</c:v>
                </c:pt>
                <c:pt idx="22">
                  <c:v>12667.752515107251</c:v>
                </c:pt>
                <c:pt idx="23">
                  <c:v>12695.533703627309</c:v>
                </c:pt>
                <c:pt idx="24">
                  <c:v>12724.2409317647</c:v>
                </c:pt>
                <c:pt idx="25">
                  <c:v>12752.948159902091</c:v>
                </c:pt>
                <c:pt idx="26">
                  <c:v>12778.87726918748</c:v>
                </c:pt>
                <c:pt idx="27">
                  <c:v>12807.584497324871</c:v>
                </c:pt>
                <c:pt idx="28">
                  <c:v>12835.365685844929</c:v>
                </c:pt>
                <c:pt idx="29">
                  <c:v>12864.072913982327</c:v>
                </c:pt>
                <c:pt idx="30">
                  <c:v>12891.854102502384</c:v>
                </c:pt>
                <c:pt idx="31">
                  <c:v>12920.561330639775</c:v>
                </c:pt>
                <c:pt idx="32">
                  <c:v>12949.268558777167</c:v>
                </c:pt>
                <c:pt idx="33">
                  <c:v>12977.049747297224</c:v>
                </c:pt>
                <c:pt idx="34">
                  <c:v>13005.756975434622</c:v>
                </c:pt>
                <c:pt idx="35">
                  <c:v>13033.538163954679</c:v>
                </c:pt>
                <c:pt idx="36">
                  <c:v>13062.245392092071</c:v>
                </c:pt>
                <c:pt idx="37">
                  <c:v>13090.952620229462</c:v>
                </c:pt>
                <c:pt idx="38">
                  <c:v>13116.881729514851</c:v>
                </c:pt>
                <c:pt idx="39">
                  <c:v>13145.588957652242</c:v>
                </c:pt>
                <c:pt idx="40">
                  <c:v>13173.370146172299</c:v>
                </c:pt>
                <c:pt idx="41">
                  <c:v>13202.077374309691</c:v>
                </c:pt>
                <c:pt idx="42">
                  <c:v>13229.858562829748</c:v>
                </c:pt>
                <c:pt idx="43">
                  <c:v>13258.565790967146</c:v>
                </c:pt>
                <c:pt idx="44">
                  <c:v>13287.273019104538</c:v>
                </c:pt>
                <c:pt idx="45">
                  <c:v>13315.054207624595</c:v>
                </c:pt>
                <c:pt idx="46">
                  <c:v>13343.761435761986</c:v>
                </c:pt>
                <c:pt idx="47">
                  <c:v>13371.542624282043</c:v>
                </c:pt>
                <c:pt idx="48">
                  <c:v>13400.249852419442</c:v>
                </c:pt>
                <c:pt idx="49">
                  <c:v>13428.957080556833</c:v>
                </c:pt>
                <c:pt idx="50">
                  <c:v>13455.812229459556</c:v>
                </c:pt>
                <c:pt idx="51">
                  <c:v>13484.519457596947</c:v>
                </c:pt>
                <c:pt idx="52">
                  <c:v>13512.300646117004</c:v>
                </c:pt>
                <c:pt idx="53">
                  <c:v>13541.007874254396</c:v>
                </c:pt>
                <c:pt idx="54">
                  <c:v>13568.789062774453</c:v>
                </c:pt>
                <c:pt idx="55">
                  <c:v>13597.496290911851</c:v>
                </c:pt>
                <c:pt idx="56">
                  <c:v>13626.203519049242</c:v>
                </c:pt>
                <c:pt idx="57">
                  <c:v>13653.9847075693</c:v>
                </c:pt>
                <c:pt idx="58">
                  <c:v>13682.691935706691</c:v>
                </c:pt>
                <c:pt idx="59">
                  <c:v>13710.473124226748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6-4246-AC11-5C5F296FC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41424"/>
        <c:axId val="91009600"/>
      </c:lineChart>
      <c:catAx>
        <c:axId val="34734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1009600"/>
        <c:crosses val="autoZero"/>
        <c:auto val="1"/>
        <c:lblAlgn val="ctr"/>
        <c:lblOffset val="100"/>
        <c:noMultiLvlLbl val="0"/>
      </c:catAx>
      <c:valAx>
        <c:axId val="910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473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DV-001
Concentrado Bicarbonato Diálisis 9.45L
(Litros)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Hoja1!$B$2:$B$61</c:f>
              <c:numCache>
                <c:formatCode>#,##0</c:formatCode>
                <c:ptCount val="60"/>
                <c:pt idx="0">
                  <c:v>10796</c:v>
                </c:pt>
                <c:pt idx="1">
                  <c:v>10488</c:v>
                </c:pt>
                <c:pt idx="2">
                  <c:v>10887</c:v>
                </c:pt>
                <c:pt idx="3">
                  <c:v>11845</c:v>
                </c:pt>
                <c:pt idx="4">
                  <c:v>12839</c:v>
                </c:pt>
                <c:pt idx="5">
                  <c:v>12271</c:v>
                </c:pt>
                <c:pt idx="6">
                  <c:v>13597</c:v>
                </c:pt>
                <c:pt idx="7">
                  <c:v>13310</c:v>
                </c:pt>
                <c:pt idx="8">
                  <c:v>13136</c:v>
                </c:pt>
                <c:pt idx="9">
                  <c:v>11717</c:v>
                </c:pt>
                <c:pt idx="10">
                  <c:v>11516</c:v>
                </c:pt>
                <c:pt idx="11">
                  <c:v>12576</c:v>
                </c:pt>
                <c:pt idx="12">
                  <c:v>12184</c:v>
                </c:pt>
                <c:pt idx="13">
                  <c:v>11396</c:v>
                </c:pt>
                <c:pt idx="14">
                  <c:v>11634</c:v>
                </c:pt>
                <c:pt idx="15">
                  <c:v>12373</c:v>
                </c:pt>
                <c:pt idx="16">
                  <c:v>13225</c:v>
                </c:pt>
                <c:pt idx="17">
                  <c:v>12877</c:v>
                </c:pt>
                <c:pt idx="18">
                  <c:v>13001</c:v>
                </c:pt>
                <c:pt idx="19">
                  <c:v>13856</c:v>
                </c:pt>
                <c:pt idx="20">
                  <c:v>12547</c:v>
                </c:pt>
                <c:pt idx="21">
                  <c:v>13392</c:v>
                </c:pt>
                <c:pt idx="22">
                  <c:v>13340</c:v>
                </c:pt>
                <c:pt idx="23">
                  <c:v>14009</c:v>
                </c:pt>
                <c:pt idx="24">
                  <c:v>11994</c:v>
                </c:pt>
                <c:pt idx="25">
                  <c:v>10805</c:v>
                </c:pt>
                <c:pt idx="26">
                  <c:v>12043</c:v>
                </c:pt>
                <c:pt idx="27">
                  <c:v>12790</c:v>
                </c:pt>
                <c:pt idx="28">
                  <c:v>13289</c:v>
                </c:pt>
                <c:pt idx="29">
                  <c:v>13101</c:v>
                </c:pt>
                <c:pt idx="30">
                  <c:v>15246</c:v>
                </c:pt>
                <c:pt idx="31">
                  <c:v>13754</c:v>
                </c:pt>
                <c:pt idx="32">
                  <c:v>12913</c:v>
                </c:pt>
                <c:pt idx="33">
                  <c:v>12426</c:v>
                </c:pt>
                <c:pt idx="34">
                  <c:v>13712</c:v>
                </c:pt>
                <c:pt idx="35">
                  <c:v>12805</c:v>
                </c:pt>
                <c:pt idx="36">
                  <c:v>12151</c:v>
                </c:pt>
                <c:pt idx="37">
                  <c:v>11031</c:v>
                </c:pt>
                <c:pt idx="38">
                  <c:v>12496</c:v>
                </c:pt>
                <c:pt idx="39">
                  <c:v>13808</c:v>
                </c:pt>
                <c:pt idx="40">
                  <c:v>14606</c:v>
                </c:pt>
                <c:pt idx="41">
                  <c:v>13345</c:v>
                </c:pt>
                <c:pt idx="42">
                  <c:v>13845</c:v>
                </c:pt>
                <c:pt idx="43">
                  <c:v>15813</c:v>
                </c:pt>
                <c:pt idx="44">
                  <c:v>15178</c:v>
                </c:pt>
                <c:pt idx="45">
                  <c:v>13769</c:v>
                </c:pt>
                <c:pt idx="46">
                  <c:v>12177</c:v>
                </c:pt>
                <c:pt idx="47">
                  <c:v>12885</c:v>
                </c:pt>
                <c:pt idx="48">
                  <c:v>11257</c:v>
                </c:pt>
                <c:pt idx="49">
                  <c:v>11397</c:v>
                </c:pt>
                <c:pt idx="50">
                  <c:v>11950</c:v>
                </c:pt>
                <c:pt idx="51">
                  <c:v>13709</c:v>
                </c:pt>
                <c:pt idx="52">
                  <c:v>14025</c:v>
                </c:pt>
                <c:pt idx="53">
                  <c:v>14051</c:v>
                </c:pt>
                <c:pt idx="54">
                  <c:v>14707</c:v>
                </c:pt>
                <c:pt idx="55">
                  <c:v>13379</c:v>
                </c:pt>
                <c:pt idx="56">
                  <c:v>14216</c:v>
                </c:pt>
                <c:pt idx="57">
                  <c:v>14077</c:v>
                </c:pt>
                <c:pt idx="58">
                  <c:v>11692</c:v>
                </c:pt>
                <c:pt idx="59">
                  <c:v>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E1A-8D50-1586F18A145B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Hoja1!$E$2:$E$109</c:f>
              <c:numCache>
                <c:formatCode>General</c:formatCode>
                <c:ptCount val="108"/>
                <c:pt idx="0">
                  <c:v>10924.025824993781</c:v>
                </c:pt>
                <c:pt idx="1">
                  <c:v>10341.733267212485</c:v>
                </c:pt>
                <c:pt idx="2">
                  <c:v>11087.649115768429</c:v>
                </c:pt>
                <c:pt idx="3">
                  <c:v>12148.063974356872</c:v>
                </c:pt>
                <c:pt idx="4">
                  <c:v>12834.556898742456</c:v>
                </c:pt>
                <c:pt idx="5">
                  <c:v>12424.435978259871</c:v>
                </c:pt>
                <c:pt idx="6">
                  <c:v>13363.359346213969</c:v>
                </c:pt>
                <c:pt idx="7">
                  <c:v>13328.680166587137</c:v>
                </c:pt>
                <c:pt idx="8">
                  <c:v>12954.004239667629</c:v>
                </c:pt>
                <c:pt idx="9">
                  <c:v>12479.516938211676</c:v>
                </c:pt>
                <c:pt idx="10">
                  <c:v>11963.992437761237</c:v>
                </c:pt>
                <c:pt idx="11">
                  <c:v>12625.277286697788</c:v>
                </c:pt>
                <c:pt idx="12">
                  <c:v>11231.354745088876</c:v>
                </c:pt>
                <c:pt idx="13">
                  <c:v>10631.988732208043</c:v>
                </c:pt>
                <c:pt idx="14">
                  <c:v>11397.300906381255</c:v>
                </c:pt>
                <c:pt idx="15">
                  <c:v>12486.52782694756</c:v>
                </c:pt>
                <c:pt idx="16">
                  <c:v>13191.330498026886</c:v>
                </c:pt>
                <c:pt idx="17">
                  <c:v>12768.995604793072</c:v>
                </c:pt>
                <c:pt idx="18">
                  <c:v>13733.114774245236</c:v>
                </c:pt>
                <c:pt idx="19">
                  <c:v>13696.611406189624</c:v>
                </c:pt>
                <c:pt idx="20">
                  <c:v>13310.756344748743</c:v>
                </c:pt>
                <c:pt idx="21">
                  <c:v>12822.425513777949</c:v>
                </c:pt>
                <c:pt idx="22">
                  <c:v>12291.970170097669</c:v>
                </c:pt>
                <c:pt idx="23">
                  <c:v>12970.605220118412</c:v>
                </c:pt>
                <c:pt idx="24">
                  <c:v>11537.84396868098</c:v>
                </c:pt>
                <c:pt idx="25">
                  <c:v>10921.45114948503</c:v>
                </c:pt>
                <c:pt idx="26">
                  <c:v>11706.952696994091</c:v>
                </c:pt>
                <c:pt idx="27">
                  <c:v>12824.991679538241</c:v>
                </c:pt>
                <c:pt idx="28">
                  <c:v>13548.104097311307</c:v>
                </c:pt>
                <c:pt idx="29">
                  <c:v>13113.555231326272</c:v>
                </c:pt>
                <c:pt idx="30">
                  <c:v>14102.870202276505</c:v>
                </c:pt>
                <c:pt idx="31">
                  <c:v>14064.542645792111</c:v>
                </c:pt>
                <c:pt idx="32">
                  <c:v>13667.508449829864</c:v>
                </c:pt>
                <c:pt idx="33">
                  <c:v>13165.334089344213</c:v>
                </c:pt>
                <c:pt idx="34">
                  <c:v>12619.947902434102</c:v>
                </c:pt>
                <c:pt idx="35">
                  <c:v>13315.933153539037</c:v>
                </c:pt>
                <c:pt idx="36">
                  <c:v>11844.333192273083</c:v>
                </c:pt>
                <c:pt idx="37">
                  <c:v>11210.913566762023</c:v>
                </c:pt>
                <c:pt idx="38">
                  <c:v>12016.604487606925</c:v>
                </c:pt>
                <c:pt idx="39">
                  <c:v>13163.455532128928</c:v>
                </c:pt>
                <c:pt idx="40">
                  <c:v>13904.877696595735</c:v>
                </c:pt>
                <c:pt idx="41">
                  <c:v>13458.114857859466</c:v>
                </c:pt>
                <c:pt idx="42">
                  <c:v>14472.625630307764</c:v>
                </c:pt>
                <c:pt idx="43">
                  <c:v>14432.473885394598</c:v>
                </c:pt>
                <c:pt idx="44">
                  <c:v>14024.260554910983</c:v>
                </c:pt>
                <c:pt idx="45">
                  <c:v>13508.242664910484</c:v>
                </c:pt>
                <c:pt idx="46">
                  <c:v>12947.925634770525</c:v>
                </c:pt>
                <c:pt idx="47">
                  <c:v>13661.261086959654</c:v>
                </c:pt>
                <c:pt idx="48">
                  <c:v>12150.822415865186</c:v>
                </c:pt>
                <c:pt idx="49">
                  <c:v>11500.375984039016</c:v>
                </c:pt>
                <c:pt idx="50">
                  <c:v>12327.10463928993</c:v>
                </c:pt>
                <c:pt idx="51">
                  <c:v>13502.846682945892</c:v>
                </c:pt>
                <c:pt idx="52">
                  <c:v>14262.628757796012</c:v>
                </c:pt>
                <c:pt idx="53">
                  <c:v>13803.618483369468</c:v>
                </c:pt>
                <c:pt idx="54">
                  <c:v>14843.39408690898</c:v>
                </c:pt>
                <c:pt idx="55">
                  <c:v>14801.413155790517</c:v>
                </c:pt>
                <c:pt idx="56">
                  <c:v>14381.990063019723</c:v>
                </c:pt>
                <c:pt idx="57">
                  <c:v>13852.09071602625</c:v>
                </c:pt>
                <c:pt idx="58">
                  <c:v>13276.801936236645</c:v>
                </c:pt>
                <c:pt idx="59">
                  <c:v>14007.535124307456</c:v>
                </c:pt>
                <c:pt idx="60">
                  <c:v>12458.151335960281</c:v>
                </c:pt>
                <c:pt idx="61">
                  <c:v>11790.631449034574</c:v>
                </c:pt>
                <c:pt idx="62">
                  <c:v>12636.756429902764</c:v>
                </c:pt>
                <c:pt idx="63">
                  <c:v>13841.310535536579</c:v>
                </c:pt>
                <c:pt idx="64">
                  <c:v>14619.40235708044</c:v>
                </c:pt>
                <c:pt idx="65">
                  <c:v>14148.178109902668</c:v>
                </c:pt>
                <c:pt idx="66">
                  <c:v>15213.149514940249</c:v>
                </c:pt>
                <c:pt idx="67">
                  <c:v>15169.344395392996</c:v>
                </c:pt>
                <c:pt idx="68">
                  <c:v>14738.742168100844</c:v>
                </c:pt>
                <c:pt idx="69">
                  <c:v>14194.999291592521</c:v>
                </c:pt>
                <c:pt idx="70">
                  <c:v>13604.779668573075</c:v>
                </c:pt>
                <c:pt idx="71">
                  <c:v>14352.863057728082</c:v>
                </c:pt>
                <c:pt idx="72">
                  <c:v>12764.640559552377</c:v>
                </c:pt>
                <c:pt idx="73">
                  <c:v>12080.093866311567</c:v>
                </c:pt>
                <c:pt idx="74">
                  <c:v>12946.40822051559</c:v>
                </c:pt>
                <c:pt idx="75">
                  <c:v>14179.774388127267</c:v>
                </c:pt>
                <c:pt idx="76">
                  <c:v>14976.17595636487</c:v>
                </c:pt>
                <c:pt idx="77">
                  <c:v>14492.737736435869</c:v>
                </c:pt>
                <c:pt idx="78">
                  <c:v>15582.904942971516</c:v>
                </c:pt>
                <c:pt idx="79">
                  <c:v>15537.275634995483</c:v>
                </c:pt>
                <c:pt idx="80">
                  <c:v>15095.494273181956</c:v>
                </c:pt>
                <c:pt idx="81">
                  <c:v>14537.907867158792</c:v>
                </c:pt>
                <c:pt idx="82">
                  <c:v>13932.757400909508</c:v>
                </c:pt>
                <c:pt idx="83">
                  <c:v>14698.190991148706</c:v>
                </c:pt>
                <c:pt idx="84">
                  <c:v>13071.129783144483</c:v>
                </c:pt>
                <c:pt idx="85">
                  <c:v>12369.556283588552</c:v>
                </c:pt>
                <c:pt idx="86">
                  <c:v>13256.060011128426</c:v>
                </c:pt>
                <c:pt idx="87">
                  <c:v>14518.238240717948</c:v>
                </c:pt>
                <c:pt idx="88">
                  <c:v>15332.949555649291</c:v>
                </c:pt>
                <c:pt idx="89">
                  <c:v>14837.297362969068</c:v>
                </c:pt>
                <c:pt idx="90">
                  <c:v>15952.660371002785</c:v>
                </c:pt>
                <c:pt idx="91">
                  <c:v>15905.20687459797</c:v>
                </c:pt>
                <c:pt idx="92">
                  <c:v>15452.246378263077</c:v>
                </c:pt>
                <c:pt idx="93">
                  <c:v>14880.816442725056</c:v>
                </c:pt>
                <c:pt idx="94">
                  <c:v>14260.73513324594</c:v>
                </c:pt>
                <c:pt idx="95">
                  <c:v>15043.518924569331</c:v>
                </c:pt>
                <c:pt idx="96">
                  <c:v>13377.619006736586</c:v>
                </c:pt>
                <c:pt idx="97">
                  <c:v>12659.018700865545</c:v>
                </c:pt>
                <c:pt idx="98">
                  <c:v>13566.560162811429</c:v>
                </c:pt>
                <c:pt idx="99">
                  <c:v>14857.629391534911</c:v>
                </c:pt>
                <c:pt idx="100">
                  <c:v>15690.700616849566</c:v>
                </c:pt>
                <c:pt idx="101">
                  <c:v>15182.80098847907</c:v>
                </c:pt>
                <c:pt idx="102">
                  <c:v>16323.428827604001</c:v>
                </c:pt>
                <c:pt idx="103">
                  <c:v>16274.146144993889</c:v>
                </c:pt>
                <c:pt idx="104">
                  <c:v>15809.975886371816</c:v>
                </c:pt>
                <c:pt idx="105">
                  <c:v>15224.664493840823</c:v>
                </c:pt>
                <c:pt idx="106">
                  <c:v>14589.611434712051</c:v>
                </c:pt>
                <c:pt idx="107">
                  <c:v>15389.792961917134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E1A-8D50-1586F18A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021264"/>
        <c:axId val="1787526976"/>
      </c:lineChart>
      <c:catAx>
        <c:axId val="35302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87526976"/>
        <c:crosses val="autoZero"/>
        <c:auto val="1"/>
        <c:lblAlgn val="ctr"/>
        <c:lblOffset val="100"/>
        <c:noMultiLvlLbl val="0"/>
      </c:catAx>
      <c:valAx>
        <c:axId val="17875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5302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517525</xdr:colOff>
      <xdr:row>5</xdr:row>
      <xdr:rowOff>76200</xdr:rowOff>
    </xdr:from>
    <xdr:to>
      <xdr:col>7</xdr:col>
      <xdr:colOff>688975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55F529-C8EE-0C4C-554C-291AD1726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43</xdr:row>
      <xdr:rowOff>12700</xdr:rowOff>
    </xdr:from>
    <xdr:to>
      <xdr:col>10</xdr:col>
      <xdr:colOff>536575</xdr:colOff>
      <xdr:row>57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C195C1-DA06-D27C-DE5B-F75202D78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746370</xdr:colOff>
      <xdr:row>50</xdr:row>
      <xdr:rowOff>45672</xdr:rowOff>
    </xdr:from>
    <xdr:to>
      <xdr:col>11</xdr:col>
      <xdr:colOff>740020</xdr:colOff>
      <xdr:row>64</xdr:row>
      <xdr:rowOff>121872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3EAAC4-B485-94B1-BD6D-8C8A82289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288192</xdr:colOff>
      <xdr:row>0</xdr:row>
      <xdr:rowOff>280133</xdr:rowOff>
    </xdr:from>
    <xdr:to>
      <xdr:col>10</xdr:col>
      <xdr:colOff>173404</xdr:colOff>
      <xdr:row>20</xdr:row>
      <xdr:rowOff>12945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F18051-557A-54C5-2056-E17EA50DF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zoomScaleNormal="100" workbookViewId="0">
      <pane ySplit="4" topLeftCell="A50" activePane="bottomLeft" state="frozen"/>
      <selection pane="bottomLeft" activeCell="D4" sqref="D4:D64"/>
    </sheetView>
  </sheetViews>
  <sheetFormatPr baseColWidth="10" defaultColWidth="8.7109375" defaultRowHeight="15" x14ac:dyDescent="0.25"/>
  <cols>
    <col min="1" max="3" width="8" customWidth="1"/>
    <col min="4" max="8" width="22" customWidth="1"/>
  </cols>
  <sheetData>
    <row r="1" spans="1:8" ht="27.75" customHeight="1" x14ac:dyDescent="0.25">
      <c r="A1" s="4" t="s">
        <v>0</v>
      </c>
      <c r="B1" s="4"/>
      <c r="C1" s="4"/>
    </row>
    <row r="2" spans="1:8" x14ac:dyDescent="0.25">
      <c r="A2" s="3" t="s">
        <v>1</v>
      </c>
      <c r="B2" s="3"/>
      <c r="C2" s="3"/>
    </row>
    <row r="4" spans="1:8" ht="51.75" customHeight="1" x14ac:dyDescent="0.25">
      <c r="A4" s="5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x14ac:dyDescent="0.25">
      <c r="A5" s="7">
        <v>2020</v>
      </c>
      <c r="B5" s="7" t="s">
        <v>10</v>
      </c>
      <c r="C5" s="7">
        <v>1</v>
      </c>
      <c r="D5" s="8">
        <v>10796</v>
      </c>
      <c r="E5" s="8">
        <v>2846</v>
      </c>
      <c r="F5" s="8">
        <v>679</v>
      </c>
      <c r="G5" s="8">
        <v>5214</v>
      </c>
      <c r="H5" s="8">
        <v>1005</v>
      </c>
    </row>
    <row r="6" spans="1:8" x14ac:dyDescent="0.25">
      <c r="A6" s="7">
        <v>2020</v>
      </c>
      <c r="B6" s="7" t="s">
        <v>11</v>
      </c>
      <c r="C6" s="7">
        <v>2</v>
      </c>
      <c r="D6" s="8">
        <v>10488</v>
      </c>
      <c r="E6" s="8">
        <v>3162</v>
      </c>
      <c r="F6" s="8">
        <v>635</v>
      </c>
      <c r="G6" s="8">
        <v>5204</v>
      </c>
      <c r="H6" s="8">
        <v>865</v>
      </c>
    </row>
    <row r="7" spans="1:8" x14ac:dyDescent="0.25">
      <c r="A7" s="7">
        <v>2020</v>
      </c>
      <c r="B7" s="7" t="s">
        <v>12</v>
      </c>
      <c r="C7" s="7">
        <v>3</v>
      </c>
      <c r="D7" s="8">
        <v>10887</v>
      </c>
      <c r="E7" s="8">
        <v>3328</v>
      </c>
      <c r="F7" s="8">
        <v>702</v>
      </c>
      <c r="G7" s="8">
        <v>5606</v>
      </c>
      <c r="H7" s="8">
        <v>1070</v>
      </c>
    </row>
    <row r="8" spans="1:8" x14ac:dyDescent="0.25">
      <c r="A8" s="7">
        <v>2020</v>
      </c>
      <c r="B8" s="7" t="s">
        <v>13</v>
      </c>
      <c r="C8" s="7">
        <v>4</v>
      </c>
      <c r="D8" s="8">
        <v>11845</v>
      </c>
      <c r="E8" s="8">
        <v>3277</v>
      </c>
      <c r="F8" s="8">
        <v>795</v>
      </c>
      <c r="G8" s="8">
        <v>6377</v>
      </c>
      <c r="H8" s="8">
        <v>993</v>
      </c>
    </row>
    <row r="9" spans="1:8" x14ac:dyDescent="0.25">
      <c r="A9" s="7">
        <v>2020</v>
      </c>
      <c r="B9" s="7" t="s">
        <v>14</v>
      </c>
      <c r="C9" s="7">
        <v>5</v>
      </c>
      <c r="D9" s="8">
        <v>12839</v>
      </c>
      <c r="E9" s="8">
        <v>3683</v>
      </c>
      <c r="F9" s="8">
        <v>795</v>
      </c>
      <c r="G9" s="8">
        <v>5975</v>
      </c>
      <c r="H9" s="8">
        <v>1204</v>
      </c>
    </row>
    <row r="10" spans="1:8" x14ac:dyDescent="0.25">
      <c r="A10" s="7">
        <v>2020</v>
      </c>
      <c r="B10" s="7" t="s">
        <v>15</v>
      </c>
      <c r="C10" s="7">
        <v>6</v>
      </c>
      <c r="D10" s="8">
        <v>12271</v>
      </c>
      <c r="E10" s="8">
        <v>3436</v>
      </c>
      <c r="F10" s="8">
        <v>786</v>
      </c>
      <c r="G10" s="8">
        <v>6872</v>
      </c>
      <c r="H10" s="8">
        <v>1174</v>
      </c>
    </row>
    <row r="11" spans="1:8" x14ac:dyDescent="0.25">
      <c r="A11" s="7">
        <v>2020</v>
      </c>
      <c r="B11" s="7" t="s">
        <v>16</v>
      </c>
      <c r="C11" s="7">
        <v>7</v>
      </c>
      <c r="D11" s="8">
        <v>13597</v>
      </c>
      <c r="E11" s="8">
        <v>3919</v>
      </c>
      <c r="F11" s="8">
        <v>869</v>
      </c>
      <c r="G11" s="8">
        <v>7203</v>
      </c>
      <c r="H11" s="8">
        <v>1165</v>
      </c>
    </row>
    <row r="12" spans="1:8" x14ac:dyDescent="0.25">
      <c r="A12" s="7">
        <v>2020</v>
      </c>
      <c r="B12" s="7" t="s">
        <v>17</v>
      </c>
      <c r="C12" s="7">
        <v>8</v>
      </c>
      <c r="D12" s="8">
        <v>13310</v>
      </c>
      <c r="E12" s="8">
        <v>4053</v>
      </c>
      <c r="F12" s="8">
        <v>897</v>
      </c>
      <c r="G12" s="8">
        <v>7215</v>
      </c>
      <c r="H12" s="8">
        <v>1225</v>
      </c>
    </row>
    <row r="13" spans="1:8" x14ac:dyDescent="0.25">
      <c r="A13" s="7">
        <v>2020</v>
      </c>
      <c r="B13" s="7" t="s">
        <v>18</v>
      </c>
      <c r="C13" s="7">
        <v>9</v>
      </c>
      <c r="D13" s="8">
        <v>13136</v>
      </c>
      <c r="E13" s="8">
        <v>3440</v>
      </c>
      <c r="F13" s="8">
        <v>811</v>
      </c>
      <c r="G13" s="8">
        <v>6351</v>
      </c>
      <c r="H13" s="8">
        <v>1088</v>
      </c>
    </row>
    <row r="14" spans="1:8" x14ac:dyDescent="0.25">
      <c r="A14" s="7">
        <v>2020</v>
      </c>
      <c r="B14" s="7" t="s">
        <v>19</v>
      </c>
      <c r="C14" s="7">
        <v>10</v>
      </c>
      <c r="D14" s="8">
        <v>11717</v>
      </c>
      <c r="E14" s="8">
        <v>3342</v>
      </c>
      <c r="F14" s="8">
        <v>787</v>
      </c>
      <c r="G14" s="8">
        <v>6461</v>
      </c>
      <c r="H14" s="8">
        <v>1098</v>
      </c>
    </row>
    <row r="15" spans="1:8" x14ac:dyDescent="0.25">
      <c r="A15" s="7">
        <v>2020</v>
      </c>
      <c r="B15" s="7" t="s">
        <v>20</v>
      </c>
      <c r="C15" s="7">
        <v>11</v>
      </c>
      <c r="D15" s="8">
        <v>11516</v>
      </c>
      <c r="E15" s="8">
        <v>3271</v>
      </c>
      <c r="F15" s="8">
        <v>755</v>
      </c>
      <c r="G15" s="8">
        <v>6500</v>
      </c>
      <c r="H15" s="8">
        <v>1104</v>
      </c>
    </row>
    <row r="16" spans="1:8" x14ac:dyDescent="0.25">
      <c r="A16" s="7">
        <v>2020</v>
      </c>
      <c r="B16" s="7" t="s">
        <v>21</v>
      </c>
      <c r="C16" s="7">
        <v>12</v>
      </c>
      <c r="D16" s="8">
        <v>12576</v>
      </c>
      <c r="E16" s="8">
        <v>3415</v>
      </c>
      <c r="F16" s="8">
        <v>854</v>
      </c>
      <c r="G16" s="8">
        <v>6042</v>
      </c>
      <c r="H16" s="8">
        <v>1111</v>
      </c>
    </row>
    <row r="17" spans="1:8" x14ac:dyDescent="0.25">
      <c r="A17" s="9">
        <v>2021</v>
      </c>
      <c r="B17" s="9" t="s">
        <v>10</v>
      </c>
      <c r="C17" s="9">
        <v>1</v>
      </c>
      <c r="D17" s="10">
        <v>12184</v>
      </c>
      <c r="E17" s="10">
        <v>3369</v>
      </c>
      <c r="F17" s="10">
        <v>760</v>
      </c>
      <c r="G17" s="10">
        <v>6010</v>
      </c>
      <c r="H17" s="10">
        <v>1093</v>
      </c>
    </row>
    <row r="18" spans="1:8" x14ac:dyDescent="0.25">
      <c r="A18" s="9">
        <v>2021</v>
      </c>
      <c r="B18" s="9" t="s">
        <v>11</v>
      </c>
      <c r="C18" s="9">
        <v>2</v>
      </c>
      <c r="D18" s="10">
        <v>11396</v>
      </c>
      <c r="E18" s="10">
        <v>3045</v>
      </c>
      <c r="F18" s="10">
        <v>673</v>
      </c>
      <c r="G18" s="10">
        <v>5472</v>
      </c>
      <c r="H18" s="10">
        <v>963</v>
      </c>
    </row>
    <row r="19" spans="1:8" x14ac:dyDescent="0.25">
      <c r="A19" s="9">
        <v>2021</v>
      </c>
      <c r="B19" s="9" t="s">
        <v>12</v>
      </c>
      <c r="C19" s="9">
        <v>3</v>
      </c>
      <c r="D19" s="10">
        <v>11634</v>
      </c>
      <c r="E19" s="10">
        <v>3810</v>
      </c>
      <c r="F19" s="10">
        <v>862</v>
      </c>
      <c r="G19" s="10">
        <v>6115</v>
      </c>
      <c r="H19" s="10">
        <v>1146</v>
      </c>
    </row>
    <row r="20" spans="1:8" x14ac:dyDescent="0.25">
      <c r="A20" s="9">
        <v>2021</v>
      </c>
      <c r="B20" s="9" t="s">
        <v>13</v>
      </c>
      <c r="C20" s="9">
        <v>4</v>
      </c>
      <c r="D20" s="10">
        <v>12373</v>
      </c>
      <c r="E20" s="10">
        <v>3914</v>
      </c>
      <c r="F20" s="10">
        <v>833</v>
      </c>
      <c r="G20" s="10">
        <v>6257</v>
      </c>
      <c r="H20" s="10">
        <v>1107</v>
      </c>
    </row>
    <row r="21" spans="1:8" x14ac:dyDescent="0.25">
      <c r="A21" s="9">
        <v>2021</v>
      </c>
      <c r="B21" s="9" t="s">
        <v>14</v>
      </c>
      <c r="C21" s="9">
        <v>5</v>
      </c>
      <c r="D21" s="10">
        <v>13225</v>
      </c>
      <c r="E21" s="10">
        <v>3675</v>
      </c>
      <c r="F21" s="10">
        <v>885</v>
      </c>
      <c r="G21" s="10">
        <v>7197</v>
      </c>
      <c r="H21" s="10">
        <v>1181</v>
      </c>
    </row>
    <row r="22" spans="1:8" x14ac:dyDescent="0.25">
      <c r="A22" s="9">
        <v>2021</v>
      </c>
      <c r="B22" s="9" t="s">
        <v>15</v>
      </c>
      <c r="C22" s="9">
        <v>6</v>
      </c>
      <c r="D22" s="10">
        <v>12877</v>
      </c>
      <c r="E22" s="10">
        <v>4245</v>
      </c>
      <c r="F22" s="10">
        <v>900</v>
      </c>
      <c r="G22" s="10">
        <v>6510</v>
      </c>
      <c r="H22" s="10">
        <v>1146</v>
      </c>
    </row>
    <row r="23" spans="1:8" x14ac:dyDescent="0.25">
      <c r="A23" s="9">
        <v>2021</v>
      </c>
      <c r="B23" s="9" t="s">
        <v>16</v>
      </c>
      <c r="C23" s="9">
        <v>7</v>
      </c>
      <c r="D23" s="10">
        <v>13001</v>
      </c>
      <c r="E23" s="10">
        <v>4127</v>
      </c>
      <c r="F23" s="10">
        <v>968</v>
      </c>
      <c r="G23" s="10">
        <v>7075</v>
      </c>
      <c r="H23" s="10">
        <v>1182</v>
      </c>
    </row>
    <row r="24" spans="1:8" x14ac:dyDescent="0.25">
      <c r="A24" s="9">
        <v>2021</v>
      </c>
      <c r="B24" s="9" t="s">
        <v>17</v>
      </c>
      <c r="C24" s="9">
        <v>8</v>
      </c>
      <c r="D24" s="10">
        <v>13856</v>
      </c>
      <c r="E24" s="10">
        <v>4447</v>
      </c>
      <c r="F24" s="10">
        <v>946</v>
      </c>
      <c r="G24" s="10">
        <v>7847</v>
      </c>
      <c r="H24" s="10">
        <v>1369</v>
      </c>
    </row>
    <row r="25" spans="1:8" x14ac:dyDescent="0.25">
      <c r="A25" s="9">
        <v>2021</v>
      </c>
      <c r="B25" s="9" t="s">
        <v>18</v>
      </c>
      <c r="C25" s="9">
        <v>9</v>
      </c>
      <c r="D25" s="10">
        <v>12547</v>
      </c>
      <c r="E25" s="10">
        <v>4110</v>
      </c>
      <c r="F25" s="10">
        <v>934</v>
      </c>
      <c r="G25" s="10">
        <v>7074</v>
      </c>
      <c r="H25" s="10">
        <v>1201</v>
      </c>
    </row>
    <row r="26" spans="1:8" x14ac:dyDescent="0.25">
      <c r="A26" s="9">
        <v>2021</v>
      </c>
      <c r="B26" s="9" t="s">
        <v>19</v>
      </c>
      <c r="C26" s="9">
        <v>10</v>
      </c>
      <c r="D26" s="10">
        <v>13392</v>
      </c>
      <c r="E26" s="10">
        <v>3582</v>
      </c>
      <c r="F26" s="10">
        <v>864</v>
      </c>
      <c r="G26" s="10">
        <v>6717</v>
      </c>
      <c r="H26" s="10">
        <v>1288</v>
      </c>
    </row>
    <row r="27" spans="1:8" x14ac:dyDescent="0.25">
      <c r="A27" s="9">
        <v>2021</v>
      </c>
      <c r="B27" s="9" t="s">
        <v>20</v>
      </c>
      <c r="C27" s="9">
        <v>11</v>
      </c>
      <c r="D27" s="10">
        <v>13340</v>
      </c>
      <c r="E27" s="10">
        <v>3531</v>
      </c>
      <c r="F27" s="10">
        <v>839</v>
      </c>
      <c r="G27" s="10">
        <v>6167</v>
      </c>
      <c r="H27" s="10">
        <v>1230</v>
      </c>
    </row>
    <row r="28" spans="1:8" x14ac:dyDescent="0.25">
      <c r="A28" s="9">
        <v>2021</v>
      </c>
      <c r="B28" s="9" t="s">
        <v>21</v>
      </c>
      <c r="C28" s="9">
        <v>12</v>
      </c>
      <c r="D28" s="10">
        <v>14009</v>
      </c>
      <c r="E28" s="10">
        <v>3733</v>
      </c>
      <c r="F28" s="10">
        <v>901</v>
      </c>
      <c r="G28" s="10">
        <v>6952</v>
      </c>
      <c r="H28" s="10">
        <v>1145</v>
      </c>
    </row>
    <row r="29" spans="1:8" x14ac:dyDescent="0.25">
      <c r="A29" s="7">
        <v>2022</v>
      </c>
      <c r="B29" s="7" t="s">
        <v>10</v>
      </c>
      <c r="C29" s="7">
        <v>1</v>
      </c>
      <c r="D29" s="8">
        <v>11994</v>
      </c>
      <c r="E29" s="8">
        <v>3378</v>
      </c>
      <c r="F29" s="8">
        <v>802</v>
      </c>
      <c r="G29" s="8">
        <v>5976</v>
      </c>
      <c r="H29" s="8">
        <v>971</v>
      </c>
    </row>
    <row r="30" spans="1:8" x14ac:dyDescent="0.25">
      <c r="A30" s="7">
        <v>2022</v>
      </c>
      <c r="B30" s="7" t="s">
        <v>11</v>
      </c>
      <c r="C30" s="7">
        <v>2</v>
      </c>
      <c r="D30" s="8">
        <v>10805</v>
      </c>
      <c r="E30" s="8">
        <v>2993</v>
      </c>
      <c r="F30" s="8">
        <v>792</v>
      </c>
      <c r="G30" s="8">
        <v>6092</v>
      </c>
      <c r="H30" s="8">
        <v>1073</v>
      </c>
    </row>
    <row r="31" spans="1:8" x14ac:dyDescent="0.25">
      <c r="A31" s="7">
        <v>2022</v>
      </c>
      <c r="B31" s="7" t="s">
        <v>12</v>
      </c>
      <c r="C31" s="7">
        <v>3</v>
      </c>
      <c r="D31" s="8">
        <v>12043</v>
      </c>
      <c r="E31" s="8">
        <v>3368</v>
      </c>
      <c r="F31" s="8">
        <v>879</v>
      </c>
      <c r="G31" s="8">
        <v>6879</v>
      </c>
      <c r="H31" s="8">
        <v>1064</v>
      </c>
    </row>
    <row r="32" spans="1:8" x14ac:dyDescent="0.25">
      <c r="A32" s="7">
        <v>2022</v>
      </c>
      <c r="B32" s="7" t="s">
        <v>13</v>
      </c>
      <c r="C32" s="7">
        <v>4</v>
      </c>
      <c r="D32" s="8">
        <v>12790</v>
      </c>
      <c r="E32" s="8">
        <v>3481</v>
      </c>
      <c r="F32" s="8">
        <v>890</v>
      </c>
      <c r="G32" s="8">
        <v>6905</v>
      </c>
      <c r="H32" s="8">
        <v>1105</v>
      </c>
    </row>
    <row r="33" spans="1:8" x14ac:dyDescent="0.25">
      <c r="A33" s="7">
        <v>2022</v>
      </c>
      <c r="B33" s="7" t="s">
        <v>14</v>
      </c>
      <c r="C33" s="7">
        <v>5</v>
      </c>
      <c r="D33" s="8">
        <v>13289</v>
      </c>
      <c r="E33" s="8">
        <v>3922</v>
      </c>
      <c r="F33" s="8">
        <v>856</v>
      </c>
      <c r="G33" s="8">
        <v>7304</v>
      </c>
      <c r="H33" s="8">
        <v>1208</v>
      </c>
    </row>
    <row r="34" spans="1:8" x14ac:dyDescent="0.25">
      <c r="A34" s="7">
        <v>2022</v>
      </c>
      <c r="B34" s="7" t="s">
        <v>15</v>
      </c>
      <c r="C34" s="7">
        <v>6</v>
      </c>
      <c r="D34" s="8">
        <v>13101</v>
      </c>
      <c r="E34" s="8">
        <v>4031</v>
      </c>
      <c r="F34" s="8">
        <v>949</v>
      </c>
      <c r="G34" s="8">
        <v>6757</v>
      </c>
      <c r="H34" s="8">
        <v>1221</v>
      </c>
    </row>
    <row r="35" spans="1:8" x14ac:dyDescent="0.25">
      <c r="A35" s="7">
        <v>2022</v>
      </c>
      <c r="B35" s="7" t="s">
        <v>16</v>
      </c>
      <c r="C35" s="7">
        <v>7</v>
      </c>
      <c r="D35" s="8">
        <v>15246</v>
      </c>
      <c r="E35" s="8">
        <v>4219</v>
      </c>
      <c r="F35" s="8">
        <v>932</v>
      </c>
      <c r="G35" s="8">
        <v>7319</v>
      </c>
      <c r="H35" s="8">
        <v>1216</v>
      </c>
    </row>
    <row r="36" spans="1:8" x14ac:dyDescent="0.25">
      <c r="A36" s="7">
        <v>2022</v>
      </c>
      <c r="B36" s="7" t="s">
        <v>17</v>
      </c>
      <c r="C36" s="7">
        <v>8</v>
      </c>
      <c r="D36" s="8">
        <v>13754</v>
      </c>
      <c r="E36" s="8">
        <v>4088</v>
      </c>
      <c r="F36" s="8">
        <v>973</v>
      </c>
      <c r="G36" s="8">
        <v>7113</v>
      </c>
      <c r="H36" s="8">
        <v>1260</v>
      </c>
    </row>
    <row r="37" spans="1:8" x14ac:dyDescent="0.25">
      <c r="A37" s="7">
        <v>2022</v>
      </c>
      <c r="B37" s="7" t="s">
        <v>18</v>
      </c>
      <c r="C37" s="7">
        <v>9</v>
      </c>
      <c r="D37" s="8">
        <v>12913</v>
      </c>
      <c r="E37" s="8">
        <v>4129</v>
      </c>
      <c r="F37" s="8">
        <v>884</v>
      </c>
      <c r="G37" s="8">
        <v>7628</v>
      </c>
      <c r="H37" s="8">
        <v>1344</v>
      </c>
    </row>
    <row r="38" spans="1:8" x14ac:dyDescent="0.25">
      <c r="A38" s="7">
        <v>2022</v>
      </c>
      <c r="B38" s="7" t="s">
        <v>19</v>
      </c>
      <c r="C38" s="7">
        <v>10</v>
      </c>
      <c r="D38" s="8">
        <v>12426</v>
      </c>
      <c r="E38" s="8">
        <v>3728</v>
      </c>
      <c r="F38" s="8">
        <v>913</v>
      </c>
      <c r="G38" s="8">
        <v>6578</v>
      </c>
      <c r="H38" s="8">
        <v>1151</v>
      </c>
    </row>
    <row r="39" spans="1:8" x14ac:dyDescent="0.25">
      <c r="A39" s="7">
        <v>2022</v>
      </c>
      <c r="B39" s="7" t="s">
        <v>20</v>
      </c>
      <c r="C39" s="7">
        <v>11</v>
      </c>
      <c r="D39" s="8">
        <v>13712</v>
      </c>
      <c r="E39" s="8">
        <v>3781</v>
      </c>
      <c r="F39" s="8">
        <v>851</v>
      </c>
      <c r="G39" s="8">
        <v>6924</v>
      </c>
      <c r="H39" s="8">
        <v>1233</v>
      </c>
    </row>
    <row r="40" spans="1:8" x14ac:dyDescent="0.25">
      <c r="A40" s="7">
        <v>2022</v>
      </c>
      <c r="B40" s="7" t="s">
        <v>21</v>
      </c>
      <c r="C40" s="7">
        <v>12</v>
      </c>
      <c r="D40" s="8">
        <v>12805</v>
      </c>
      <c r="E40" s="8">
        <v>3676</v>
      </c>
      <c r="F40" s="8">
        <v>888</v>
      </c>
      <c r="G40" s="8">
        <v>6876</v>
      </c>
      <c r="H40" s="8">
        <v>1228</v>
      </c>
    </row>
    <row r="41" spans="1:8" x14ac:dyDescent="0.25">
      <c r="A41" s="9">
        <v>2023</v>
      </c>
      <c r="B41" s="9" t="s">
        <v>10</v>
      </c>
      <c r="C41" s="9">
        <v>1</v>
      </c>
      <c r="D41" s="10">
        <v>12151</v>
      </c>
      <c r="E41" s="10">
        <v>3514</v>
      </c>
      <c r="F41" s="10">
        <v>842</v>
      </c>
      <c r="G41" s="10">
        <v>5667</v>
      </c>
      <c r="H41" s="10">
        <v>1058</v>
      </c>
    </row>
    <row r="42" spans="1:8" x14ac:dyDescent="0.25">
      <c r="A42" s="9">
        <v>2023</v>
      </c>
      <c r="B42" s="9" t="s">
        <v>11</v>
      </c>
      <c r="C42" s="9">
        <v>2</v>
      </c>
      <c r="D42" s="10">
        <v>11031</v>
      </c>
      <c r="E42" s="10">
        <v>3493</v>
      </c>
      <c r="F42" s="10">
        <v>724</v>
      </c>
      <c r="G42" s="10">
        <v>5560</v>
      </c>
      <c r="H42" s="10">
        <v>1029</v>
      </c>
    </row>
    <row r="43" spans="1:8" x14ac:dyDescent="0.25">
      <c r="A43" s="9">
        <v>2023</v>
      </c>
      <c r="B43" s="9" t="s">
        <v>12</v>
      </c>
      <c r="C43" s="9">
        <v>3</v>
      </c>
      <c r="D43" s="10">
        <v>12496</v>
      </c>
      <c r="E43" s="10">
        <v>3560</v>
      </c>
      <c r="F43" s="10">
        <v>810</v>
      </c>
      <c r="G43" s="10">
        <v>6981</v>
      </c>
      <c r="H43" s="10">
        <v>1149</v>
      </c>
    </row>
    <row r="44" spans="1:8" x14ac:dyDescent="0.25">
      <c r="A44" s="9">
        <v>2023</v>
      </c>
      <c r="B44" s="9" t="s">
        <v>13</v>
      </c>
      <c r="C44" s="9">
        <v>4</v>
      </c>
      <c r="D44" s="10">
        <v>13808</v>
      </c>
      <c r="E44" s="10">
        <v>3838</v>
      </c>
      <c r="F44" s="10">
        <v>808</v>
      </c>
      <c r="G44" s="10">
        <v>7283</v>
      </c>
      <c r="H44" s="10">
        <v>1261</v>
      </c>
    </row>
    <row r="45" spans="1:8" x14ac:dyDescent="0.25">
      <c r="A45" s="9">
        <v>2023</v>
      </c>
      <c r="B45" s="9" t="s">
        <v>14</v>
      </c>
      <c r="C45" s="9">
        <v>5</v>
      </c>
      <c r="D45" s="10">
        <v>14606</v>
      </c>
      <c r="E45" s="10">
        <v>4233</v>
      </c>
      <c r="F45" s="10">
        <v>956</v>
      </c>
      <c r="G45" s="10">
        <v>6645</v>
      </c>
      <c r="H45" s="10">
        <v>1243</v>
      </c>
    </row>
    <row r="46" spans="1:8" x14ac:dyDescent="0.25">
      <c r="A46" s="9">
        <v>2023</v>
      </c>
      <c r="B46" s="9" t="s">
        <v>15</v>
      </c>
      <c r="C46" s="9">
        <v>6</v>
      </c>
      <c r="D46" s="10">
        <v>13345</v>
      </c>
      <c r="E46" s="10">
        <v>4015</v>
      </c>
      <c r="F46" s="10">
        <v>867</v>
      </c>
      <c r="G46" s="10">
        <v>7086</v>
      </c>
      <c r="H46" s="10">
        <v>1382</v>
      </c>
    </row>
    <row r="47" spans="1:8" x14ac:dyDescent="0.25">
      <c r="A47" s="9">
        <v>2023</v>
      </c>
      <c r="B47" s="9" t="s">
        <v>16</v>
      </c>
      <c r="C47" s="9">
        <v>7</v>
      </c>
      <c r="D47" s="10">
        <v>13845</v>
      </c>
      <c r="E47" s="10">
        <v>4387</v>
      </c>
      <c r="F47" s="10">
        <v>952</v>
      </c>
      <c r="G47" s="10">
        <v>7341</v>
      </c>
      <c r="H47" s="10">
        <v>1415</v>
      </c>
    </row>
    <row r="48" spans="1:8" x14ac:dyDescent="0.25">
      <c r="A48" s="9">
        <v>2023</v>
      </c>
      <c r="B48" s="9" t="s">
        <v>17</v>
      </c>
      <c r="C48" s="9">
        <v>8</v>
      </c>
      <c r="D48" s="10">
        <v>15813</v>
      </c>
      <c r="E48" s="10">
        <v>4312</v>
      </c>
      <c r="F48" s="10">
        <v>1011</v>
      </c>
      <c r="G48" s="10">
        <v>7152</v>
      </c>
      <c r="H48" s="10">
        <v>1299</v>
      </c>
    </row>
    <row r="49" spans="1:8" x14ac:dyDescent="0.25">
      <c r="A49" s="9">
        <v>2023</v>
      </c>
      <c r="B49" s="9" t="s">
        <v>18</v>
      </c>
      <c r="C49" s="9">
        <v>9</v>
      </c>
      <c r="D49" s="10">
        <v>15178</v>
      </c>
      <c r="E49" s="10">
        <v>4170</v>
      </c>
      <c r="F49" s="10">
        <v>948</v>
      </c>
      <c r="G49" s="10">
        <v>7584</v>
      </c>
      <c r="H49" s="10">
        <v>1203</v>
      </c>
    </row>
    <row r="50" spans="1:8" x14ac:dyDescent="0.25">
      <c r="A50" s="9">
        <v>2023</v>
      </c>
      <c r="B50" s="9" t="s">
        <v>19</v>
      </c>
      <c r="C50" s="9">
        <v>10</v>
      </c>
      <c r="D50" s="10">
        <v>13769</v>
      </c>
      <c r="E50" s="10">
        <v>3965</v>
      </c>
      <c r="F50" s="10">
        <v>957</v>
      </c>
      <c r="G50" s="10">
        <v>6635</v>
      </c>
      <c r="H50" s="10">
        <v>1337</v>
      </c>
    </row>
    <row r="51" spans="1:8" x14ac:dyDescent="0.25">
      <c r="A51" s="9">
        <v>2023</v>
      </c>
      <c r="B51" s="9" t="s">
        <v>20</v>
      </c>
      <c r="C51" s="9">
        <v>11</v>
      </c>
      <c r="D51" s="10">
        <v>12177</v>
      </c>
      <c r="E51" s="10">
        <v>3616</v>
      </c>
      <c r="F51" s="10">
        <v>883</v>
      </c>
      <c r="G51" s="10">
        <v>6933</v>
      </c>
      <c r="H51" s="10">
        <v>1146</v>
      </c>
    </row>
    <row r="52" spans="1:8" x14ac:dyDescent="0.25">
      <c r="A52" s="9">
        <v>2023</v>
      </c>
      <c r="B52" s="9" t="s">
        <v>21</v>
      </c>
      <c r="C52" s="9">
        <v>12</v>
      </c>
      <c r="D52" s="10">
        <v>12885</v>
      </c>
      <c r="E52" s="10">
        <v>4251</v>
      </c>
      <c r="F52" s="10">
        <v>878</v>
      </c>
      <c r="G52" s="10">
        <v>7196</v>
      </c>
      <c r="H52" s="10">
        <v>1282</v>
      </c>
    </row>
    <row r="53" spans="1:8" x14ac:dyDescent="0.25">
      <c r="A53" s="7">
        <v>2024</v>
      </c>
      <c r="B53" s="7" t="s">
        <v>10</v>
      </c>
      <c r="C53" s="7">
        <v>1</v>
      </c>
      <c r="D53" s="8">
        <v>11257</v>
      </c>
      <c r="E53" s="8">
        <v>3371</v>
      </c>
      <c r="F53" s="8">
        <v>763</v>
      </c>
      <c r="G53" s="8">
        <v>6302</v>
      </c>
      <c r="H53" s="8">
        <v>996</v>
      </c>
    </row>
    <row r="54" spans="1:8" x14ac:dyDescent="0.25">
      <c r="A54" s="7">
        <v>2024</v>
      </c>
      <c r="B54" s="7" t="s">
        <v>11</v>
      </c>
      <c r="C54" s="7">
        <v>2</v>
      </c>
      <c r="D54" s="8">
        <v>11397</v>
      </c>
      <c r="E54" s="8">
        <v>3079</v>
      </c>
      <c r="F54" s="8">
        <v>722</v>
      </c>
      <c r="G54" s="8">
        <v>5848</v>
      </c>
      <c r="H54" s="8">
        <v>977</v>
      </c>
    </row>
    <row r="55" spans="1:8" x14ac:dyDescent="0.25">
      <c r="A55" s="7">
        <v>2024</v>
      </c>
      <c r="B55" s="7" t="s">
        <v>12</v>
      </c>
      <c r="C55" s="7">
        <v>3</v>
      </c>
      <c r="D55" s="8">
        <v>11950</v>
      </c>
      <c r="E55" s="8">
        <v>3736</v>
      </c>
      <c r="F55" s="8">
        <v>765</v>
      </c>
      <c r="G55" s="8">
        <v>6319</v>
      </c>
      <c r="H55" s="8">
        <v>1219</v>
      </c>
    </row>
    <row r="56" spans="1:8" x14ac:dyDescent="0.25">
      <c r="A56" s="7">
        <v>2024</v>
      </c>
      <c r="B56" s="7" t="s">
        <v>13</v>
      </c>
      <c r="C56" s="7">
        <v>4</v>
      </c>
      <c r="D56" s="8">
        <v>13709</v>
      </c>
      <c r="E56" s="8">
        <v>3451</v>
      </c>
      <c r="F56" s="8">
        <v>808</v>
      </c>
      <c r="G56" s="8">
        <v>6316</v>
      </c>
      <c r="H56" s="8">
        <v>1245</v>
      </c>
    </row>
    <row r="57" spans="1:8" x14ac:dyDescent="0.25">
      <c r="A57" s="7">
        <v>2024</v>
      </c>
      <c r="B57" s="7" t="s">
        <v>14</v>
      </c>
      <c r="C57" s="7">
        <v>5</v>
      </c>
      <c r="D57" s="8">
        <v>14025</v>
      </c>
      <c r="E57" s="8">
        <v>4090</v>
      </c>
      <c r="F57" s="8">
        <v>863</v>
      </c>
      <c r="G57" s="8">
        <v>6456</v>
      </c>
      <c r="H57" s="8">
        <v>1276</v>
      </c>
    </row>
    <row r="58" spans="1:8" x14ac:dyDescent="0.25">
      <c r="A58" s="7">
        <v>2024</v>
      </c>
      <c r="B58" s="7" t="s">
        <v>15</v>
      </c>
      <c r="C58" s="7">
        <v>6</v>
      </c>
      <c r="D58" s="8">
        <v>14051</v>
      </c>
      <c r="E58" s="8">
        <v>4040</v>
      </c>
      <c r="F58" s="8">
        <v>978</v>
      </c>
      <c r="G58" s="8">
        <v>7204</v>
      </c>
      <c r="H58" s="8">
        <v>1149</v>
      </c>
    </row>
    <row r="59" spans="1:8" x14ac:dyDescent="0.25">
      <c r="A59" s="7">
        <v>2024</v>
      </c>
      <c r="B59" s="7" t="s">
        <v>16</v>
      </c>
      <c r="C59" s="7">
        <v>7</v>
      </c>
      <c r="D59" s="8">
        <v>14707</v>
      </c>
      <c r="E59" s="8">
        <v>3951</v>
      </c>
      <c r="F59" s="8">
        <v>958</v>
      </c>
      <c r="G59" s="8">
        <v>7740</v>
      </c>
      <c r="H59" s="8">
        <v>1208</v>
      </c>
    </row>
    <row r="60" spans="1:8" x14ac:dyDescent="0.25">
      <c r="A60" s="7">
        <v>2024</v>
      </c>
      <c r="B60" s="7" t="s">
        <v>17</v>
      </c>
      <c r="C60" s="7">
        <v>8</v>
      </c>
      <c r="D60" s="8">
        <v>13379</v>
      </c>
      <c r="E60" s="8">
        <v>3897</v>
      </c>
      <c r="F60" s="8">
        <v>958</v>
      </c>
      <c r="G60" s="8">
        <v>7097</v>
      </c>
      <c r="H60" s="8">
        <v>1329</v>
      </c>
    </row>
    <row r="61" spans="1:8" x14ac:dyDescent="0.25">
      <c r="A61" s="7">
        <v>2024</v>
      </c>
      <c r="B61" s="7" t="s">
        <v>18</v>
      </c>
      <c r="C61" s="7">
        <v>9</v>
      </c>
      <c r="D61" s="8">
        <v>14216</v>
      </c>
      <c r="E61" s="8">
        <v>3817</v>
      </c>
      <c r="F61" s="8">
        <v>936</v>
      </c>
      <c r="G61" s="8">
        <v>6830</v>
      </c>
      <c r="H61" s="8">
        <v>1257</v>
      </c>
    </row>
    <row r="62" spans="1:8" x14ac:dyDescent="0.25">
      <c r="A62" s="7">
        <v>2024</v>
      </c>
      <c r="B62" s="7" t="s">
        <v>19</v>
      </c>
      <c r="C62" s="7">
        <v>10</v>
      </c>
      <c r="D62" s="8">
        <v>14077</v>
      </c>
      <c r="E62" s="8">
        <v>4069</v>
      </c>
      <c r="F62" s="8">
        <v>824</v>
      </c>
      <c r="G62" s="8">
        <v>6746</v>
      </c>
      <c r="H62" s="8">
        <v>1168</v>
      </c>
    </row>
    <row r="63" spans="1:8" x14ac:dyDescent="0.25">
      <c r="A63" s="7">
        <v>2024</v>
      </c>
      <c r="B63" s="7" t="s">
        <v>20</v>
      </c>
      <c r="C63" s="7">
        <v>11</v>
      </c>
      <c r="D63" s="8">
        <v>11692</v>
      </c>
      <c r="E63" s="8">
        <v>3865</v>
      </c>
      <c r="F63" s="8">
        <v>865</v>
      </c>
      <c r="G63" s="8">
        <v>6312</v>
      </c>
      <c r="H63" s="8">
        <v>1209</v>
      </c>
    </row>
    <row r="64" spans="1:8" x14ac:dyDescent="0.25">
      <c r="A64" s="7">
        <v>2024</v>
      </c>
      <c r="B64" s="7" t="s">
        <v>21</v>
      </c>
      <c r="C64" s="7">
        <v>12</v>
      </c>
      <c r="D64" s="8">
        <v>13459</v>
      </c>
      <c r="E64" s="8">
        <v>3848</v>
      </c>
      <c r="F64" s="8">
        <v>820</v>
      </c>
      <c r="G64" s="8">
        <v>6428</v>
      </c>
      <c r="H64" s="8">
        <v>1299</v>
      </c>
    </row>
    <row r="65" spans="1:8" x14ac:dyDescent="0.25">
      <c r="A65" s="2" t="s">
        <v>22</v>
      </c>
      <c r="B65" s="2"/>
      <c r="C65" s="2"/>
      <c r="D65" s="12">
        <f>SUM(D5:D64)</f>
        <v>772713</v>
      </c>
      <c r="E65" s="12">
        <f>SUM(E5:E64)</f>
        <v>224122</v>
      </c>
      <c r="F65" s="12">
        <f>SUM(F5:F64)</f>
        <v>51235</v>
      </c>
      <c r="G65" s="12">
        <f>SUM(G5:G64)</f>
        <v>398425</v>
      </c>
      <c r="H65" s="12">
        <f>SUM(H5:H64)</f>
        <v>70363</v>
      </c>
    </row>
  </sheetData>
  <mergeCells count="3">
    <mergeCell ref="A1:C1"/>
    <mergeCell ref="A2:C2"/>
    <mergeCell ref="A65:C6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40E3-CDBF-41F6-BAF9-5E7D882774DD}">
  <dimension ref="A1:V109"/>
  <sheetViews>
    <sheetView tabSelected="1" zoomScale="130" zoomScaleNormal="130" workbookViewId="0">
      <selection activeCell="C61" sqref="C61:E109"/>
    </sheetView>
  </sheetViews>
  <sheetFormatPr baseColWidth="10" defaultRowHeight="15" x14ac:dyDescent="0.25"/>
  <cols>
    <col min="4" max="4" width="13.7109375" bestFit="1" customWidth="1"/>
    <col min="5" max="5" width="12" bestFit="1" customWidth="1"/>
    <col min="7" max="7" width="12" bestFit="1" customWidth="1"/>
    <col min="16" max="16" width="1.7109375" customWidth="1"/>
    <col min="17" max="17" width="12" bestFit="1" customWidth="1"/>
  </cols>
  <sheetData>
    <row r="1" spans="1:22" ht="56.25" x14ac:dyDescent="0.25">
      <c r="B1" s="6" t="s">
        <v>5</v>
      </c>
      <c r="C1" t="s">
        <v>79</v>
      </c>
      <c r="D1" t="s">
        <v>100</v>
      </c>
      <c r="E1" t="s">
        <v>101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100</v>
      </c>
    </row>
    <row r="2" spans="1:22" x14ac:dyDescent="0.25">
      <c r="A2" s="25">
        <v>43831</v>
      </c>
      <c r="B2" s="8">
        <v>10796</v>
      </c>
      <c r="C2" s="26">
        <f>+$G$2+$G$3*A2</f>
        <v>12047.305971492624</v>
      </c>
      <c r="D2" s="29">
        <f>+V2</f>
        <v>0.90676088503464225</v>
      </c>
      <c r="E2">
        <f>+C2*D2</f>
        <v>10924.025824993781</v>
      </c>
      <c r="F2" t="s">
        <v>80</v>
      </c>
      <c r="G2">
        <f>+INTERCEPT(B2:B61,A2:A61)</f>
        <v>-28541.936495929065</v>
      </c>
      <c r="J2" t="s">
        <v>82</v>
      </c>
      <c r="K2" s="27">
        <f>+B2</f>
        <v>10796</v>
      </c>
      <c r="L2" s="27">
        <f>+B14</f>
        <v>12184</v>
      </c>
      <c r="M2" s="27">
        <f>+B26</f>
        <v>11994</v>
      </c>
      <c r="N2" s="27">
        <f>+B38</f>
        <v>12151</v>
      </c>
      <c r="O2" s="27">
        <f>+B50</f>
        <v>11257</v>
      </c>
      <c r="Q2" s="28">
        <f>+K2/K$15</f>
        <v>0.89359764929851426</v>
      </c>
      <c r="R2" s="28">
        <f t="shared" ref="R2:U13" si="0">+L2/L$15</f>
        <v>0.95042708373961537</v>
      </c>
      <c r="S2" s="28">
        <f t="shared" si="0"/>
        <v>0.92929919033045361</v>
      </c>
      <c r="T2" s="28">
        <f t="shared" si="0"/>
        <v>0.9050799483563412</v>
      </c>
      <c r="U2" s="28">
        <f t="shared" si="0"/>
        <v>0.8554005534482868</v>
      </c>
      <c r="V2" s="30">
        <f>+AVERAGE(Q2:U2)</f>
        <v>0.90676088503464225</v>
      </c>
    </row>
    <row r="3" spans="1:22" x14ac:dyDescent="0.25">
      <c r="A3" s="25">
        <v>43862</v>
      </c>
      <c r="B3" s="8">
        <v>10488</v>
      </c>
      <c r="C3" s="26">
        <f t="shared" ref="C3:C61" si="1">+$G$2+$G$3*A3</f>
        <v>12076.013199630022</v>
      </c>
      <c r="D3" s="29">
        <f t="shared" ref="D3:D61" si="2">+V3</f>
        <v>0.85638638317564353</v>
      </c>
      <c r="E3">
        <f t="shared" ref="E3:E61" si="3">+C3*D3</f>
        <v>10341.733267212485</v>
      </c>
      <c r="F3" t="s">
        <v>81</v>
      </c>
      <c r="G3">
        <f>+SLOPE(B2:B61,A2:A61)</f>
        <v>0.92603961733525797</v>
      </c>
      <c r="J3" t="s">
        <v>83</v>
      </c>
      <c r="K3" s="27">
        <f t="shared" ref="K3:K13" si="4">+B3</f>
        <v>10488</v>
      </c>
      <c r="L3" s="27">
        <f t="shared" ref="L3:L13" si="5">+B15</f>
        <v>11396</v>
      </c>
      <c r="M3" s="27">
        <f t="shared" ref="M3:M13" si="6">+B27</f>
        <v>10805</v>
      </c>
      <c r="N3" s="27">
        <f t="shared" ref="N3:N13" si="7">+B39</f>
        <v>11031</v>
      </c>
      <c r="O3" s="27">
        <f t="shared" ref="O3:O13" si="8">+B51</f>
        <v>11397</v>
      </c>
      <c r="Q3" s="28">
        <f t="shared" ref="Q3:Q13" si="9">+K3/K$15</f>
        <v>0.86810412614327692</v>
      </c>
      <c r="R3" s="28">
        <f t="shared" si="0"/>
        <v>0.88895822769998833</v>
      </c>
      <c r="S3" s="28">
        <f t="shared" si="0"/>
        <v>0.83717506682679266</v>
      </c>
      <c r="T3" s="28">
        <f t="shared" si="0"/>
        <v>0.82165557652199817</v>
      </c>
      <c r="U3" s="28">
        <f t="shared" si="0"/>
        <v>0.8660389186861619</v>
      </c>
      <c r="V3" s="30">
        <f t="shared" ref="V3:V13" si="10">+AVERAGE(Q3:U3)</f>
        <v>0.85638638317564353</v>
      </c>
    </row>
    <row r="4" spans="1:22" x14ac:dyDescent="0.25">
      <c r="A4" s="25">
        <v>43891</v>
      </c>
      <c r="B4" s="8">
        <v>10887</v>
      </c>
      <c r="C4" s="26">
        <f t="shared" si="1"/>
        <v>12102.868348532746</v>
      </c>
      <c r="D4" s="29">
        <f t="shared" si="2"/>
        <v>0.91611746872489164</v>
      </c>
      <c r="E4">
        <f t="shared" si="3"/>
        <v>11087.649115768429</v>
      </c>
      <c r="J4" t="s">
        <v>84</v>
      </c>
      <c r="K4" s="27">
        <f t="shared" si="4"/>
        <v>10887</v>
      </c>
      <c r="L4" s="27">
        <f t="shared" si="5"/>
        <v>11634</v>
      </c>
      <c r="M4" s="27">
        <f t="shared" si="6"/>
        <v>12043</v>
      </c>
      <c r="N4" s="27">
        <f t="shared" si="7"/>
        <v>12496</v>
      </c>
      <c r="O4" s="27">
        <f t="shared" si="8"/>
        <v>11950</v>
      </c>
      <c r="Q4" s="28">
        <f t="shared" si="9"/>
        <v>0.90112982659437979</v>
      </c>
      <c r="R4" s="28">
        <f t="shared" si="0"/>
        <v>0.90752369437185543</v>
      </c>
      <c r="S4" s="28">
        <f t="shared" si="0"/>
        <v>0.93309572695928411</v>
      </c>
      <c r="T4" s="28">
        <f t="shared" si="0"/>
        <v>0.93077763432317007</v>
      </c>
      <c r="U4" s="28">
        <f t="shared" si="0"/>
        <v>0.90806046137576868</v>
      </c>
      <c r="V4" s="30">
        <f t="shared" si="10"/>
        <v>0.91611746872489164</v>
      </c>
    </row>
    <row r="5" spans="1:22" x14ac:dyDescent="0.25">
      <c r="A5" s="25">
        <v>43922</v>
      </c>
      <c r="B5" s="8">
        <v>11845</v>
      </c>
      <c r="C5" s="26">
        <f t="shared" si="1"/>
        <v>12131.575576670137</v>
      </c>
      <c r="D5" s="29">
        <f t="shared" si="2"/>
        <v>1.0013591307726297</v>
      </c>
      <c r="E5">
        <f t="shared" si="3"/>
        <v>12148.063974356872</v>
      </c>
      <c r="J5" t="s">
        <v>85</v>
      </c>
      <c r="K5" s="27">
        <f t="shared" si="4"/>
        <v>11845</v>
      </c>
      <c r="L5" s="27">
        <f t="shared" si="5"/>
        <v>12373</v>
      </c>
      <c r="M5" s="27">
        <f t="shared" si="6"/>
        <v>12790</v>
      </c>
      <c r="N5" s="27">
        <f t="shared" si="7"/>
        <v>13808</v>
      </c>
      <c r="O5" s="27">
        <f t="shared" si="8"/>
        <v>13709</v>
      </c>
      <c r="Q5" s="28">
        <f t="shared" si="9"/>
        <v>0.98042461614865706</v>
      </c>
      <c r="R5" s="28">
        <f t="shared" si="0"/>
        <v>0.96517024844962751</v>
      </c>
      <c r="S5" s="28">
        <f t="shared" si="0"/>
        <v>0.99097354046410724</v>
      </c>
      <c r="T5" s="28">
        <f t="shared" si="0"/>
        <v>1.0285033270434005</v>
      </c>
      <c r="U5" s="28">
        <f t="shared" si="0"/>
        <v>1.0417239217573566</v>
      </c>
      <c r="V5" s="30">
        <f t="shared" si="10"/>
        <v>1.0013591307726297</v>
      </c>
    </row>
    <row r="6" spans="1:22" x14ac:dyDescent="0.25">
      <c r="A6" s="25">
        <v>43952</v>
      </c>
      <c r="B6" s="8">
        <v>12839</v>
      </c>
      <c r="C6" s="26">
        <f t="shared" si="1"/>
        <v>12159.356765190194</v>
      </c>
      <c r="D6" s="29">
        <f t="shared" si="2"/>
        <v>1.0555292641371643</v>
      </c>
      <c r="E6">
        <f t="shared" si="3"/>
        <v>12834.556898742456</v>
      </c>
      <c r="J6" t="s">
        <v>86</v>
      </c>
      <c r="K6" s="27">
        <f t="shared" si="4"/>
        <v>12839</v>
      </c>
      <c r="L6" s="27">
        <f t="shared" si="5"/>
        <v>13225</v>
      </c>
      <c r="M6" s="27">
        <f t="shared" si="6"/>
        <v>13289</v>
      </c>
      <c r="N6" s="27">
        <f t="shared" si="7"/>
        <v>14606</v>
      </c>
      <c r="O6" s="27">
        <f t="shared" si="8"/>
        <v>14025</v>
      </c>
      <c r="Q6" s="28">
        <f t="shared" si="9"/>
        <v>1.0626991681496503</v>
      </c>
      <c r="R6" s="28">
        <f t="shared" si="0"/>
        <v>1.0316314988884121</v>
      </c>
      <c r="S6" s="28">
        <f t="shared" si="0"/>
        <v>1.0296362298066866</v>
      </c>
      <c r="T6" s="28">
        <f t="shared" si="0"/>
        <v>1.0879431919753699</v>
      </c>
      <c r="U6" s="28">
        <f t="shared" si="0"/>
        <v>1.0657362318657033</v>
      </c>
      <c r="V6" s="30">
        <f t="shared" si="10"/>
        <v>1.0555292641371643</v>
      </c>
    </row>
    <row r="7" spans="1:22" x14ac:dyDescent="0.25">
      <c r="A7" s="25">
        <v>43983</v>
      </c>
      <c r="B7" s="8">
        <v>12271</v>
      </c>
      <c r="C7" s="26">
        <f t="shared" si="1"/>
        <v>12188.063993327585</v>
      </c>
      <c r="D7" s="29">
        <f t="shared" si="2"/>
        <v>1.0193937269333087</v>
      </c>
      <c r="E7">
        <f t="shared" si="3"/>
        <v>12424.435978259871</v>
      </c>
      <c r="J7" t="s">
        <v>87</v>
      </c>
      <c r="K7" s="27">
        <f t="shared" si="4"/>
        <v>12271</v>
      </c>
      <c r="L7" s="27">
        <f t="shared" si="5"/>
        <v>12877</v>
      </c>
      <c r="M7" s="27">
        <f t="shared" si="6"/>
        <v>13101</v>
      </c>
      <c r="N7" s="27">
        <f t="shared" si="7"/>
        <v>13345</v>
      </c>
      <c r="O7" s="27">
        <f t="shared" si="8"/>
        <v>14051</v>
      </c>
      <c r="Q7" s="28">
        <f t="shared" si="9"/>
        <v>1.0156851384347969</v>
      </c>
      <c r="R7" s="28">
        <f t="shared" si="0"/>
        <v>1.004485354342993</v>
      </c>
      <c r="S7" s="28">
        <f t="shared" si="0"/>
        <v>1.0150699260062759</v>
      </c>
      <c r="T7" s="28">
        <f t="shared" si="0"/>
        <v>0.99401628761545335</v>
      </c>
      <c r="U7" s="28">
        <f t="shared" si="0"/>
        <v>1.0677119282670231</v>
      </c>
      <c r="V7" s="30">
        <f t="shared" si="10"/>
        <v>1.0193937269333087</v>
      </c>
    </row>
    <row r="8" spans="1:22" x14ac:dyDescent="0.25">
      <c r="A8" s="25">
        <v>44013</v>
      </c>
      <c r="B8" s="8">
        <v>13597</v>
      </c>
      <c r="C8" s="26">
        <f t="shared" si="1"/>
        <v>12215.845181847642</v>
      </c>
      <c r="D8" s="29">
        <f t="shared" si="2"/>
        <v>1.0939365346633154</v>
      </c>
      <c r="E8">
        <f t="shared" si="3"/>
        <v>13363.359346213969</v>
      </c>
      <c r="J8" t="s">
        <v>88</v>
      </c>
      <c r="K8" s="27">
        <f t="shared" si="4"/>
        <v>13597</v>
      </c>
      <c r="L8" s="27">
        <f t="shared" si="5"/>
        <v>13001</v>
      </c>
      <c r="M8" s="27">
        <f t="shared" si="6"/>
        <v>15246</v>
      </c>
      <c r="N8" s="27">
        <f t="shared" si="7"/>
        <v>13845</v>
      </c>
      <c r="O8" s="27">
        <f t="shared" si="8"/>
        <v>14707</v>
      </c>
      <c r="Q8" s="28">
        <f t="shared" si="9"/>
        <v>1.1254397218888383</v>
      </c>
      <c r="R8" s="28">
        <f t="shared" si="0"/>
        <v>1.0141581184913608</v>
      </c>
      <c r="S8" s="28">
        <f t="shared" si="0"/>
        <v>1.1812652539418123</v>
      </c>
      <c r="T8" s="28">
        <f t="shared" si="0"/>
        <v>1.031259310755785</v>
      </c>
      <c r="U8" s="28">
        <f t="shared" si="0"/>
        <v>1.1175602682387806</v>
      </c>
      <c r="V8" s="30">
        <f t="shared" si="10"/>
        <v>1.0939365346633154</v>
      </c>
    </row>
    <row r="9" spans="1:22" x14ac:dyDescent="0.25">
      <c r="A9" s="25">
        <v>44044</v>
      </c>
      <c r="B9" s="8">
        <v>13310</v>
      </c>
      <c r="C9" s="26">
        <f t="shared" si="1"/>
        <v>12244.552409985034</v>
      </c>
      <c r="D9" s="29">
        <f t="shared" si="2"/>
        <v>1.0885395986968076</v>
      </c>
      <c r="E9">
        <f t="shared" si="3"/>
        <v>13328.680166587137</v>
      </c>
      <c r="J9" t="s">
        <v>89</v>
      </c>
      <c r="K9" s="27">
        <f t="shared" si="4"/>
        <v>13310</v>
      </c>
      <c r="L9" s="27">
        <f t="shared" si="5"/>
        <v>13856</v>
      </c>
      <c r="M9" s="27">
        <f t="shared" si="6"/>
        <v>13754</v>
      </c>
      <c r="N9" s="27">
        <f t="shared" si="7"/>
        <v>15813</v>
      </c>
      <c r="O9" s="27">
        <f t="shared" si="8"/>
        <v>13379</v>
      </c>
      <c r="Q9" s="28">
        <f t="shared" si="9"/>
        <v>1.1016843934941853</v>
      </c>
      <c r="R9" s="28">
        <f t="shared" si="0"/>
        <v>1.0808533874176061</v>
      </c>
      <c r="S9" s="28">
        <f t="shared" si="0"/>
        <v>1.0656645876108937</v>
      </c>
      <c r="T9" s="28">
        <f t="shared" si="0"/>
        <v>1.1778478498361307</v>
      </c>
      <c r="U9" s="28">
        <f t="shared" si="0"/>
        <v>1.0166477751252225</v>
      </c>
      <c r="V9" s="30">
        <f t="shared" si="10"/>
        <v>1.0885395986968076</v>
      </c>
    </row>
    <row r="10" spans="1:22" x14ac:dyDescent="0.25">
      <c r="A10" s="25">
        <v>44075</v>
      </c>
      <c r="B10" s="8">
        <v>13136</v>
      </c>
      <c r="C10" s="26">
        <f t="shared" si="1"/>
        <v>12273.259638122432</v>
      </c>
      <c r="D10" s="29">
        <f t="shared" si="2"/>
        <v>1.0554656726588518</v>
      </c>
      <c r="E10">
        <f t="shared" si="3"/>
        <v>12954.004239667629</v>
      </c>
      <c r="J10" t="s">
        <v>90</v>
      </c>
      <c r="K10" s="27">
        <f t="shared" si="4"/>
        <v>13136</v>
      </c>
      <c r="L10" s="27">
        <f t="shared" si="5"/>
        <v>12547</v>
      </c>
      <c r="M10" s="27">
        <f t="shared" si="6"/>
        <v>12913</v>
      </c>
      <c r="N10" s="27">
        <f t="shared" si="7"/>
        <v>15178</v>
      </c>
      <c r="O10" s="27">
        <f t="shared" si="8"/>
        <v>14216</v>
      </c>
      <c r="Q10" s="28">
        <f t="shared" si="9"/>
        <v>1.0872822083350577</v>
      </c>
      <c r="R10" s="28">
        <f t="shared" si="0"/>
        <v>0.97874332072233705</v>
      </c>
      <c r="S10" s="28">
        <f t="shared" si="0"/>
        <v>1.0005036222058652</v>
      </c>
      <c r="T10" s="28">
        <f t="shared" si="0"/>
        <v>1.1305492104479093</v>
      </c>
      <c r="U10" s="28">
        <f t="shared" si="0"/>
        <v>1.08025000158309</v>
      </c>
      <c r="V10" s="30">
        <f t="shared" si="10"/>
        <v>1.0554656726588518</v>
      </c>
    </row>
    <row r="11" spans="1:22" x14ac:dyDescent="0.25">
      <c r="A11" s="25">
        <v>44105</v>
      </c>
      <c r="B11" s="8">
        <v>11717</v>
      </c>
      <c r="C11" s="26">
        <f t="shared" si="1"/>
        <v>12301.040826642489</v>
      </c>
      <c r="D11" s="29">
        <f t="shared" si="2"/>
        <v>1.0145090252186328</v>
      </c>
      <c r="E11">
        <f t="shared" si="3"/>
        <v>12479.516938211676</v>
      </c>
      <c r="J11" t="s">
        <v>91</v>
      </c>
      <c r="K11" s="27">
        <f t="shared" si="4"/>
        <v>11717</v>
      </c>
      <c r="L11" s="27">
        <f t="shared" si="5"/>
        <v>13392</v>
      </c>
      <c r="M11" s="27">
        <f t="shared" si="6"/>
        <v>12426</v>
      </c>
      <c r="N11" s="27">
        <f t="shared" si="7"/>
        <v>13769</v>
      </c>
      <c r="O11" s="27">
        <f t="shared" si="8"/>
        <v>14077</v>
      </c>
      <c r="Q11" s="28">
        <f t="shared" si="9"/>
        <v>0.96982990522699997</v>
      </c>
      <c r="R11" s="28">
        <f t="shared" si="0"/>
        <v>1.044658528023714</v>
      </c>
      <c r="S11" s="28">
        <f t="shared" si="0"/>
        <v>0.96277069693565254</v>
      </c>
      <c r="T11" s="28">
        <f t="shared" si="0"/>
        <v>1.0255983712384547</v>
      </c>
      <c r="U11" s="28">
        <f t="shared" si="0"/>
        <v>1.0696876246683427</v>
      </c>
      <c r="V11" s="30">
        <f t="shared" si="10"/>
        <v>1.0145090252186328</v>
      </c>
    </row>
    <row r="12" spans="1:22" x14ac:dyDescent="0.25">
      <c r="A12" s="25">
        <v>44136</v>
      </c>
      <c r="B12" s="8">
        <v>11516</v>
      </c>
      <c r="C12" s="26">
        <f t="shared" si="1"/>
        <v>12329.74805477988</v>
      </c>
      <c r="D12" s="29">
        <f t="shared" si="2"/>
        <v>0.97033551574666199</v>
      </c>
      <c r="E12">
        <f t="shared" si="3"/>
        <v>11963.992437761237</v>
      </c>
      <c r="J12" t="s">
        <v>92</v>
      </c>
      <c r="K12" s="27">
        <f t="shared" si="4"/>
        <v>11516</v>
      </c>
      <c r="L12" s="27">
        <f t="shared" si="5"/>
        <v>13340</v>
      </c>
      <c r="M12" s="27">
        <f t="shared" si="6"/>
        <v>13712</v>
      </c>
      <c r="N12" s="27">
        <f t="shared" si="7"/>
        <v>12177</v>
      </c>
      <c r="O12" s="27">
        <f t="shared" si="8"/>
        <v>11692</v>
      </c>
      <c r="Q12" s="28">
        <f t="shared" si="9"/>
        <v>0.95319289823283537</v>
      </c>
      <c r="R12" s="28">
        <f t="shared" si="0"/>
        <v>1.0406022075743984</v>
      </c>
      <c r="S12" s="28">
        <f t="shared" si="0"/>
        <v>1.0624104133576104</v>
      </c>
      <c r="T12" s="28">
        <f t="shared" si="0"/>
        <v>0.90701658555963849</v>
      </c>
      <c r="U12" s="28">
        <f t="shared" si="0"/>
        <v>0.88845547400882741</v>
      </c>
      <c r="V12" s="30">
        <f t="shared" si="10"/>
        <v>0.97033551574666199</v>
      </c>
    </row>
    <row r="13" spans="1:22" x14ac:dyDescent="0.25">
      <c r="A13" s="25">
        <v>44166</v>
      </c>
      <c r="B13" s="8">
        <v>12576</v>
      </c>
      <c r="C13" s="26">
        <f t="shared" si="1"/>
        <v>12357.529243299938</v>
      </c>
      <c r="D13" s="29">
        <f t="shared" si="2"/>
        <v>1.02166679423745</v>
      </c>
      <c r="E13">
        <f t="shared" si="3"/>
        <v>12625.277286697788</v>
      </c>
      <c r="J13" t="s">
        <v>93</v>
      </c>
      <c r="K13" s="27">
        <f t="shared" si="4"/>
        <v>12576</v>
      </c>
      <c r="L13" s="27">
        <f t="shared" si="5"/>
        <v>14009</v>
      </c>
      <c r="M13" s="27">
        <f t="shared" si="6"/>
        <v>12805</v>
      </c>
      <c r="N13" s="27">
        <f t="shared" si="7"/>
        <v>12885</v>
      </c>
      <c r="O13" s="27">
        <f t="shared" si="8"/>
        <v>13459</v>
      </c>
      <c r="Q13" s="28">
        <f t="shared" si="9"/>
        <v>1.040930348052808</v>
      </c>
      <c r="R13" s="28">
        <f t="shared" si="0"/>
        <v>1.0927883302780921</v>
      </c>
      <c r="S13" s="28">
        <f t="shared" si="0"/>
        <v>0.99213574555456552</v>
      </c>
      <c r="T13" s="28">
        <f t="shared" si="0"/>
        <v>0.95975270632634813</v>
      </c>
      <c r="U13" s="28">
        <f t="shared" si="0"/>
        <v>1.0227268409754369</v>
      </c>
      <c r="V13" s="30">
        <f t="shared" si="10"/>
        <v>1.02166679423745</v>
      </c>
    </row>
    <row r="14" spans="1:22" x14ac:dyDescent="0.25">
      <c r="A14" s="25">
        <v>44197</v>
      </c>
      <c r="B14" s="10">
        <v>12184</v>
      </c>
      <c r="C14" s="26">
        <f t="shared" si="1"/>
        <v>12386.236471437329</v>
      </c>
      <c r="D14" s="29">
        <f>+D2</f>
        <v>0.90676088503464225</v>
      </c>
      <c r="E14">
        <f t="shared" si="3"/>
        <v>11231.354745088876</v>
      </c>
    </row>
    <row r="15" spans="1:22" x14ac:dyDescent="0.25">
      <c r="A15" s="25">
        <v>44228</v>
      </c>
      <c r="B15" s="10">
        <v>11396</v>
      </c>
      <c r="C15" s="26">
        <f t="shared" si="1"/>
        <v>12414.943699574727</v>
      </c>
      <c r="D15" s="29">
        <f t="shared" ref="D15:D78" si="11">+D3</f>
        <v>0.85638638317564353</v>
      </c>
      <c r="E15">
        <f t="shared" si="3"/>
        <v>10631.988732208043</v>
      </c>
      <c r="J15" t="s">
        <v>99</v>
      </c>
      <c r="K15" s="27">
        <f>+AVERAGE(K2:K13)</f>
        <v>12081.5</v>
      </c>
      <c r="L15" s="27">
        <f t="shared" ref="L15:O15" si="12">+AVERAGE(L2:L13)</f>
        <v>12819.5</v>
      </c>
      <c r="M15" s="27">
        <f t="shared" si="12"/>
        <v>12906.5</v>
      </c>
      <c r="N15" s="27">
        <f t="shared" si="12"/>
        <v>13425.333333333334</v>
      </c>
      <c r="O15" s="27">
        <f t="shared" si="12"/>
        <v>13159.916666666666</v>
      </c>
    </row>
    <row r="16" spans="1:22" x14ac:dyDescent="0.25">
      <c r="A16" s="25">
        <v>44256</v>
      </c>
      <c r="B16" s="10">
        <v>11634</v>
      </c>
      <c r="C16" s="26">
        <f t="shared" si="1"/>
        <v>12440.872808860109</v>
      </c>
      <c r="D16" s="29">
        <f t="shared" si="11"/>
        <v>0.91611746872489164</v>
      </c>
      <c r="E16">
        <f t="shared" si="3"/>
        <v>11397.300906381255</v>
      </c>
    </row>
    <row r="17" spans="1:5" x14ac:dyDescent="0.25">
      <c r="A17" s="25">
        <v>44287</v>
      </c>
      <c r="B17" s="10">
        <v>12373</v>
      </c>
      <c r="C17" s="26">
        <f t="shared" si="1"/>
        <v>12469.580036997508</v>
      </c>
      <c r="D17" s="29">
        <f t="shared" si="11"/>
        <v>1.0013591307726297</v>
      </c>
      <c r="E17">
        <f t="shared" si="3"/>
        <v>12486.52782694756</v>
      </c>
    </row>
    <row r="18" spans="1:5" x14ac:dyDescent="0.25">
      <c r="A18" s="25">
        <v>44317</v>
      </c>
      <c r="B18" s="10">
        <v>13225</v>
      </c>
      <c r="C18" s="26">
        <f t="shared" si="1"/>
        <v>12497.361225517565</v>
      </c>
      <c r="D18" s="29">
        <f t="shared" si="11"/>
        <v>1.0555292641371643</v>
      </c>
      <c r="E18">
        <f t="shared" si="3"/>
        <v>13191.330498026886</v>
      </c>
    </row>
    <row r="19" spans="1:5" x14ac:dyDescent="0.25">
      <c r="A19" s="25">
        <v>44348</v>
      </c>
      <c r="B19" s="10">
        <v>12877</v>
      </c>
      <c r="C19" s="26">
        <f t="shared" si="1"/>
        <v>12526.068453654956</v>
      </c>
      <c r="D19" s="29">
        <f t="shared" si="11"/>
        <v>1.0193937269333087</v>
      </c>
      <c r="E19">
        <f t="shared" si="3"/>
        <v>12768.995604793072</v>
      </c>
    </row>
    <row r="20" spans="1:5" x14ac:dyDescent="0.25">
      <c r="A20" s="25">
        <v>44378</v>
      </c>
      <c r="B20" s="10">
        <v>13001</v>
      </c>
      <c r="C20" s="26">
        <f t="shared" si="1"/>
        <v>12553.849642175013</v>
      </c>
      <c r="D20" s="29">
        <f t="shared" si="11"/>
        <v>1.0939365346633154</v>
      </c>
      <c r="E20">
        <f t="shared" si="3"/>
        <v>13733.114774245236</v>
      </c>
    </row>
    <row r="21" spans="1:5" x14ac:dyDescent="0.25">
      <c r="A21" s="25">
        <v>44409</v>
      </c>
      <c r="B21" s="10">
        <v>13856</v>
      </c>
      <c r="C21" s="26">
        <f t="shared" si="1"/>
        <v>12582.556870312404</v>
      </c>
      <c r="D21" s="29">
        <f t="shared" si="11"/>
        <v>1.0885395986968076</v>
      </c>
      <c r="E21">
        <f t="shared" si="3"/>
        <v>13696.611406189624</v>
      </c>
    </row>
    <row r="22" spans="1:5" x14ac:dyDescent="0.25">
      <c r="A22" s="25">
        <v>44440</v>
      </c>
      <c r="B22" s="10">
        <v>12547</v>
      </c>
      <c r="C22" s="26">
        <f t="shared" si="1"/>
        <v>12611.264098449796</v>
      </c>
      <c r="D22" s="29">
        <f t="shared" si="11"/>
        <v>1.0554656726588518</v>
      </c>
      <c r="E22">
        <f t="shared" si="3"/>
        <v>13310.756344748743</v>
      </c>
    </row>
    <row r="23" spans="1:5" x14ac:dyDescent="0.25">
      <c r="A23" s="25">
        <v>44470</v>
      </c>
      <c r="B23" s="10">
        <v>13392</v>
      </c>
      <c r="C23" s="26">
        <f t="shared" si="1"/>
        <v>12639.04528696986</v>
      </c>
      <c r="D23" s="29">
        <f t="shared" si="11"/>
        <v>1.0145090252186328</v>
      </c>
      <c r="E23">
        <f t="shared" si="3"/>
        <v>12822.425513777949</v>
      </c>
    </row>
    <row r="24" spans="1:5" x14ac:dyDescent="0.25">
      <c r="A24" s="25">
        <v>44501</v>
      </c>
      <c r="B24" s="10">
        <v>13340</v>
      </c>
      <c r="C24" s="26">
        <f t="shared" si="1"/>
        <v>12667.752515107251</v>
      </c>
      <c r="D24" s="29">
        <f t="shared" si="11"/>
        <v>0.97033551574666199</v>
      </c>
      <c r="E24">
        <f t="shared" si="3"/>
        <v>12291.970170097669</v>
      </c>
    </row>
    <row r="25" spans="1:5" x14ac:dyDescent="0.25">
      <c r="A25" s="25">
        <v>44531</v>
      </c>
      <c r="B25" s="10">
        <v>14009</v>
      </c>
      <c r="C25" s="26">
        <f t="shared" si="1"/>
        <v>12695.533703627309</v>
      </c>
      <c r="D25" s="29">
        <f t="shared" si="11"/>
        <v>1.02166679423745</v>
      </c>
      <c r="E25">
        <f t="shared" si="3"/>
        <v>12970.605220118412</v>
      </c>
    </row>
    <row r="26" spans="1:5" x14ac:dyDescent="0.25">
      <c r="A26" s="25">
        <v>44562</v>
      </c>
      <c r="B26" s="8">
        <v>11994</v>
      </c>
      <c r="C26" s="26">
        <f t="shared" si="1"/>
        <v>12724.2409317647</v>
      </c>
      <c r="D26" s="29">
        <f t="shared" si="11"/>
        <v>0.90676088503464225</v>
      </c>
      <c r="E26">
        <f t="shared" si="3"/>
        <v>11537.84396868098</v>
      </c>
    </row>
    <row r="27" spans="1:5" x14ac:dyDescent="0.25">
      <c r="A27" s="25">
        <v>44593</v>
      </c>
      <c r="B27" s="8">
        <v>10805</v>
      </c>
      <c r="C27" s="26">
        <f t="shared" si="1"/>
        <v>12752.948159902091</v>
      </c>
      <c r="D27" s="29">
        <f t="shared" si="11"/>
        <v>0.85638638317564353</v>
      </c>
      <c r="E27">
        <f t="shared" si="3"/>
        <v>10921.45114948503</v>
      </c>
    </row>
    <row r="28" spans="1:5" x14ac:dyDescent="0.25">
      <c r="A28" s="25">
        <v>44621</v>
      </c>
      <c r="B28" s="8">
        <v>12043</v>
      </c>
      <c r="C28" s="26">
        <f t="shared" si="1"/>
        <v>12778.87726918748</v>
      </c>
      <c r="D28" s="29">
        <f t="shared" si="11"/>
        <v>0.91611746872489164</v>
      </c>
      <c r="E28">
        <f t="shared" si="3"/>
        <v>11706.952696994091</v>
      </c>
    </row>
    <row r="29" spans="1:5" x14ac:dyDescent="0.25">
      <c r="A29" s="25">
        <v>44652</v>
      </c>
      <c r="B29" s="8">
        <v>12790</v>
      </c>
      <c r="C29" s="26">
        <f t="shared" si="1"/>
        <v>12807.584497324871</v>
      </c>
      <c r="D29" s="29">
        <f t="shared" si="11"/>
        <v>1.0013591307726297</v>
      </c>
      <c r="E29">
        <f t="shared" si="3"/>
        <v>12824.991679538241</v>
      </c>
    </row>
    <row r="30" spans="1:5" x14ac:dyDescent="0.25">
      <c r="A30" s="25">
        <v>44682</v>
      </c>
      <c r="B30" s="8">
        <v>13289</v>
      </c>
      <c r="C30" s="26">
        <f t="shared" si="1"/>
        <v>12835.365685844929</v>
      </c>
      <c r="D30" s="29">
        <f t="shared" si="11"/>
        <v>1.0555292641371643</v>
      </c>
      <c r="E30">
        <f t="shared" si="3"/>
        <v>13548.104097311307</v>
      </c>
    </row>
    <row r="31" spans="1:5" x14ac:dyDescent="0.25">
      <c r="A31" s="25">
        <v>44713</v>
      </c>
      <c r="B31" s="8">
        <v>13101</v>
      </c>
      <c r="C31" s="26">
        <f t="shared" si="1"/>
        <v>12864.072913982327</v>
      </c>
      <c r="D31" s="29">
        <f t="shared" si="11"/>
        <v>1.0193937269333087</v>
      </c>
      <c r="E31">
        <f t="shared" si="3"/>
        <v>13113.555231326272</v>
      </c>
    </row>
    <row r="32" spans="1:5" x14ac:dyDescent="0.25">
      <c r="A32" s="25">
        <v>44743</v>
      </c>
      <c r="B32" s="8">
        <v>15246</v>
      </c>
      <c r="C32" s="26">
        <f t="shared" si="1"/>
        <v>12891.854102502384</v>
      </c>
      <c r="D32" s="29">
        <f t="shared" si="11"/>
        <v>1.0939365346633154</v>
      </c>
      <c r="E32">
        <f t="shared" si="3"/>
        <v>14102.870202276505</v>
      </c>
    </row>
    <row r="33" spans="1:5" x14ac:dyDescent="0.25">
      <c r="A33" s="25">
        <v>44774</v>
      </c>
      <c r="B33" s="8">
        <v>13754</v>
      </c>
      <c r="C33" s="26">
        <f t="shared" si="1"/>
        <v>12920.561330639775</v>
      </c>
      <c r="D33" s="29">
        <f t="shared" si="11"/>
        <v>1.0885395986968076</v>
      </c>
      <c r="E33">
        <f t="shared" si="3"/>
        <v>14064.542645792111</v>
      </c>
    </row>
    <row r="34" spans="1:5" x14ac:dyDescent="0.25">
      <c r="A34" s="25">
        <v>44805</v>
      </c>
      <c r="B34" s="8">
        <v>12913</v>
      </c>
      <c r="C34" s="26">
        <f t="shared" si="1"/>
        <v>12949.268558777167</v>
      </c>
      <c r="D34" s="29">
        <f t="shared" si="11"/>
        <v>1.0554656726588518</v>
      </c>
      <c r="E34">
        <f t="shared" si="3"/>
        <v>13667.508449829864</v>
      </c>
    </row>
    <row r="35" spans="1:5" x14ac:dyDescent="0.25">
      <c r="A35" s="25">
        <v>44835</v>
      </c>
      <c r="B35" s="8">
        <v>12426</v>
      </c>
      <c r="C35" s="26">
        <f t="shared" si="1"/>
        <v>12977.049747297224</v>
      </c>
      <c r="D35" s="29">
        <f t="shared" si="11"/>
        <v>1.0145090252186328</v>
      </c>
      <c r="E35">
        <f t="shared" si="3"/>
        <v>13165.334089344213</v>
      </c>
    </row>
    <row r="36" spans="1:5" x14ac:dyDescent="0.25">
      <c r="A36" s="25">
        <v>44866</v>
      </c>
      <c r="B36" s="8">
        <v>13712</v>
      </c>
      <c r="C36" s="26">
        <f t="shared" si="1"/>
        <v>13005.756975434622</v>
      </c>
      <c r="D36" s="29">
        <f t="shared" si="11"/>
        <v>0.97033551574666199</v>
      </c>
      <c r="E36">
        <f t="shared" si="3"/>
        <v>12619.947902434102</v>
      </c>
    </row>
    <row r="37" spans="1:5" x14ac:dyDescent="0.25">
      <c r="A37" s="25">
        <v>44896</v>
      </c>
      <c r="B37" s="8">
        <v>12805</v>
      </c>
      <c r="C37" s="26">
        <f t="shared" si="1"/>
        <v>13033.538163954679</v>
      </c>
      <c r="D37" s="29">
        <f t="shared" si="11"/>
        <v>1.02166679423745</v>
      </c>
      <c r="E37">
        <f t="shared" si="3"/>
        <v>13315.933153539037</v>
      </c>
    </row>
    <row r="38" spans="1:5" x14ac:dyDescent="0.25">
      <c r="A38" s="25">
        <v>44927</v>
      </c>
      <c r="B38" s="10">
        <v>12151</v>
      </c>
      <c r="C38" s="26">
        <f t="shared" si="1"/>
        <v>13062.245392092071</v>
      </c>
      <c r="D38" s="29">
        <f t="shared" si="11"/>
        <v>0.90676088503464225</v>
      </c>
      <c r="E38">
        <f t="shared" si="3"/>
        <v>11844.333192273083</v>
      </c>
    </row>
    <row r="39" spans="1:5" x14ac:dyDescent="0.25">
      <c r="A39" s="25">
        <v>44958</v>
      </c>
      <c r="B39" s="10">
        <v>11031</v>
      </c>
      <c r="C39" s="26">
        <f t="shared" si="1"/>
        <v>13090.952620229462</v>
      </c>
      <c r="D39" s="29">
        <f t="shared" si="11"/>
        <v>0.85638638317564353</v>
      </c>
      <c r="E39">
        <f t="shared" si="3"/>
        <v>11210.913566762023</v>
      </c>
    </row>
    <row r="40" spans="1:5" x14ac:dyDescent="0.25">
      <c r="A40" s="25">
        <v>44986</v>
      </c>
      <c r="B40" s="10">
        <v>12496</v>
      </c>
      <c r="C40" s="26">
        <f t="shared" si="1"/>
        <v>13116.881729514851</v>
      </c>
      <c r="D40" s="29">
        <f t="shared" si="11"/>
        <v>0.91611746872489164</v>
      </c>
      <c r="E40">
        <f t="shared" si="3"/>
        <v>12016.604487606925</v>
      </c>
    </row>
    <row r="41" spans="1:5" x14ac:dyDescent="0.25">
      <c r="A41" s="25">
        <v>45017</v>
      </c>
      <c r="B41" s="10">
        <v>13808</v>
      </c>
      <c r="C41" s="26">
        <f t="shared" si="1"/>
        <v>13145.588957652242</v>
      </c>
      <c r="D41" s="29">
        <f t="shared" si="11"/>
        <v>1.0013591307726297</v>
      </c>
      <c r="E41">
        <f t="shared" si="3"/>
        <v>13163.455532128928</v>
      </c>
    </row>
    <row r="42" spans="1:5" x14ac:dyDescent="0.25">
      <c r="A42" s="25">
        <v>45047</v>
      </c>
      <c r="B42" s="10">
        <v>14606</v>
      </c>
      <c r="C42" s="26">
        <f t="shared" si="1"/>
        <v>13173.370146172299</v>
      </c>
      <c r="D42" s="29">
        <f t="shared" si="11"/>
        <v>1.0555292641371643</v>
      </c>
      <c r="E42">
        <f t="shared" si="3"/>
        <v>13904.877696595735</v>
      </c>
    </row>
    <row r="43" spans="1:5" x14ac:dyDescent="0.25">
      <c r="A43" s="25">
        <v>45078</v>
      </c>
      <c r="B43" s="10">
        <v>13345</v>
      </c>
      <c r="C43" s="26">
        <f t="shared" si="1"/>
        <v>13202.077374309691</v>
      </c>
      <c r="D43" s="29">
        <f t="shared" si="11"/>
        <v>1.0193937269333087</v>
      </c>
      <c r="E43">
        <f t="shared" si="3"/>
        <v>13458.114857859466</v>
      </c>
    </row>
    <row r="44" spans="1:5" x14ac:dyDescent="0.25">
      <c r="A44" s="25">
        <v>45108</v>
      </c>
      <c r="B44" s="10">
        <v>13845</v>
      </c>
      <c r="C44" s="26">
        <f t="shared" si="1"/>
        <v>13229.858562829748</v>
      </c>
      <c r="D44" s="29">
        <f t="shared" si="11"/>
        <v>1.0939365346633154</v>
      </c>
      <c r="E44">
        <f t="shared" si="3"/>
        <v>14472.625630307764</v>
      </c>
    </row>
    <row r="45" spans="1:5" x14ac:dyDescent="0.25">
      <c r="A45" s="25">
        <v>45139</v>
      </c>
      <c r="B45" s="10">
        <v>15813</v>
      </c>
      <c r="C45" s="26">
        <f t="shared" si="1"/>
        <v>13258.565790967146</v>
      </c>
      <c r="D45" s="29">
        <f t="shared" si="11"/>
        <v>1.0885395986968076</v>
      </c>
      <c r="E45">
        <f t="shared" si="3"/>
        <v>14432.473885394598</v>
      </c>
    </row>
    <row r="46" spans="1:5" x14ac:dyDescent="0.25">
      <c r="A46" s="25">
        <v>45170</v>
      </c>
      <c r="B46" s="10">
        <v>15178</v>
      </c>
      <c r="C46" s="26">
        <f t="shared" si="1"/>
        <v>13287.273019104538</v>
      </c>
      <c r="D46" s="29">
        <f t="shared" si="11"/>
        <v>1.0554656726588518</v>
      </c>
      <c r="E46">
        <f t="shared" si="3"/>
        <v>14024.260554910983</v>
      </c>
    </row>
    <row r="47" spans="1:5" x14ac:dyDescent="0.25">
      <c r="A47" s="25">
        <v>45200</v>
      </c>
      <c r="B47" s="10">
        <v>13769</v>
      </c>
      <c r="C47" s="26">
        <f t="shared" si="1"/>
        <v>13315.054207624595</v>
      </c>
      <c r="D47" s="29">
        <f t="shared" si="11"/>
        <v>1.0145090252186328</v>
      </c>
      <c r="E47">
        <f t="shared" si="3"/>
        <v>13508.242664910484</v>
      </c>
    </row>
    <row r="48" spans="1:5" x14ac:dyDescent="0.25">
      <c r="A48" s="25">
        <v>45231</v>
      </c>
      <c r="B48" s="10">
        <v>12177</v>
      </c>
      <c r="C48" s="26">
        <f t="shared" si="1"/>
        <v>13343.761435761986</v>
      </c>
      <c r="D48" s="29">
        <f t="shared" si="11"/>
        <v>0.97033551574666199</v>
      </c>
      <c r="E48">
        <f t="shared" si="3"/>
        <v>12947.925634770525</v>
      </c>
    </row>
    <row r="49" spans="1:5" x14ac:dyDescent="0.25">
      <c r="A49" s="25">
        <v>45261</v>
      </c>
      <c r="B49" s="10">
        <v>12885</v>
      </c>
      <c r="C49" s="26">
        <f t="shared" si="1"/>
        <v>13371.542624282043</v>
      </c>
      <c r="D49" s="29">
        <f t="shared" si="11"/>
        <v>1.02166679423745</v>
      </c>
      <c r="E49">
        <f t="shared" si="3"/>
        <v>13661.261086959654</v>
      </c>
    </row>
    <row r="50" spans="1:5" x14ac:dyDescent="0.25">
      <c r="A50" s="25">
        <v>45292</v>
      </c>
      <c r="B50" s="8">
        <v>11257</v>
      </c>
      <c r="C50" s="26">
        <f t="shared" si="1"/>
        <v>13400.249852419442</v>
      </c>
      <c r="D50" s="29">
        <f t="shared" si="11"/>
        <v>0.90676088503464225</v>
      </c>
      <c r="E50">
        <f t="shared" si="3"/>
        <v>12150.822415865186</v>
      </c>
    </row>
    <row r="51" spans="1:5" x14ac:dyDescent="0.25">
      <c r="A51" s="25">
        <v>45323</v>
      </c>
      <c r="B51" s="8">
        <v>11397</v>
      </c>
      <c r="C51" s="26">
        <f t="shared" si="1"/>
        <v>13428.957080556833</v>
      </c>
      <c r="D51" s="29">
        <f t="shared" si="11"/>
        <v>0.85638638317564353</v>
      </c>
      <c r="E51">
        <f t="shared" si="3"/>
        <v>11500.375984039016</v>
      </c>
    </row>
    <row r="52" spans="1:5" x14ac:dyDescent="0.25">
      <c r="A52" s="25">
        <v>45352</v>
      </c>
      <c r="B52" s="8">
        <v>11950</v>
      </c>
      <c r="C52" s="26">
        <f t="shared" si="1"/>
        <v>13455.812229459556</v>
      </c>
      <c r="D52" s="29">
        <f t="shared" si="11"/>
        <v>0.91611746872489164</v>
      </c>
      <c r="E52">
        <f t="shared" si="3"/>
        <v>12327.10463928993</v>
      </c>
    </row>
    <row r="53" spans="1:5" x14ac:dyDescent="0.25">
      <c r="A53" s="25">
        <v>45383</v>
      </c>
      <c r="B53" s="8">
        <v>13709</v>
      </c>
      <c r="C53" s="26">
        <f t="shared" si="1"/>
        <v>13484.519457596947</v>
      </c>
      <c r="D53" s="29">
        <f t="shared" si="11"/>
        <v>1.0013591307726297</v>
      </c>
      <c r="E53">
        <f t="shared" si="3"/>
        <v>13502.846682945892</v>
      </c>
    </row>
    <row r="54" spans="1:5" x14ac:dyDescent="0.25">
      <c r="A54" s="25">
        <v>45413</v>
      </c>
      <c r="B54" s="8">
        <v>14025</v>
      </c>
      <c r="C54" s="26">
        <f t="shared" si="1"/>
        <v>13512.300646117004</v>
      </c>
      <c r="D54" s="29">
        <f t="shared" si="11"/>
        <v>1.0555292641371643</v>
      </c>
      <c r="E54">
        <f t="shared" si="3"/>
        <v>14262.628757796012</v>
      </c>
    </row>
    <row r="55" spans="1:5" x14ac:dyDescent="0.25">
      <c r="A55" s="25">
        <v>45444</v>
      </c>
      <c r="B55" s="8">
        <v>14051</v>
      </c>
      <c r="C55" s="26">
        <f t="shared" si="1"/>
        <v>13541.007874254396</v>
      </c>
      <c r="D55" s="29">
        <f t="shared" si="11"/>
        <v>1.0193937269333087</v>
      </c>
      <c r="E55">
        <f t="shared" si="3"/>
        <v>13803.618483369468</v>
      </c>
    </row>
    <row r="56" spans="1:5" x14ac:dyDescent="0.25">
      <c r="A56" s="25">
        <v>45474</v>
      </c>
      <c r="B56" s="8">
        <v>14707</v>
      </c>
      <c r="C56" s="26">
        <f t="shared" si="1"/>
        <v>13568.789062774453</v>
      </c>
      <c r="D56" s="29">
        <f t="shared" si="11"/>
        <v>1.0939365346633154</v>
      </c>
      <c r="E56">
        <f t="shared" si="3"/>
        <v>14843.39408690898</v>
      </c>
    </row>
    <row r="57" spans="1:5" x14ac:dyDescent="0.25">
      <c r="A57" s="25">
        <v>45505</v>
      </c>
      <c r="B57" s="8">
        <v>13379</v>
      </c>
      <c r="C57" s="26">
        <f t="shared" si="1"/>
        <v>13597.496290911851</v>
      </c>
      <c r="D57" s="29">
        <f t="shared" si="11"/>
        <v>1.0885395986968076</v>
      </c>
      <c r="E57">
        <f t="shared" si="3"/>
        <v>14801.413155790517</v>
      </c>
    </row>
    <row r="58" spans="1:5" x14ac:dyDescent="0.25">
      <c r="A58" s="25">
        <v>45536</v>
      </c>
      <c r="B58" s="8">
        <v>14216</v>
      </c>
      <c r="C58" s="26">
        <f t="shared" si="1"/>
        <v>13626.203519049242</v>
      </c>
      <c r="D58" s="29">
        <f t="shared" si="11"/>
        <v>1.0554656726588518</v>
      </c>
      <c r="E58">
        <f t="shared" si="3"/>
        <v>14381.990063019723</v>
      </c>
    </row>
    <row r="59" spans="1:5" x14ac:dyDescent="0.25">
      <c r="A59" s="25">
        <v>45566</v>
      </c>
      <c r="B59" s="8">
        <v>14077</v>
      </c>
      <c r="C59" s="26">
        <f t="shared" si="1"/>
        <v>13653.9847075693</v>
      </c>
      <c r="D59" s="29">
        <f t="shared" si="11"/>
        <v>1.0145090252186328</v>
      </c>
      <c r="E59">
        <f t="shared" si="3"/>
        <v>13852.09071602625</v>
      </c>
    </row>
    <row r="60" spans="1:5" x14ac:dyDescent="0.25">
      <c r="A60" s="25">
        <v>45597</v>
      </c>
      <c r="B60" s="8">
        <v>11692</v>
      </c>
      <c r="C60" s="26">
        <f t="shared" si="1"/>
        <v>13682.691935706691</v>
      </c>
      <c r="D60" s="29">
        <f t="shared" si="11"/>
        <v>0.97033551574666199</v>
      </c>
      <c r="E60">
        <f t="shared" si="3"/>
        <v>13276.801936236645</v>
      </c>
    </row>
    <row r="61" spans="1:5" x14ac:dyDescent="0.25">
      <c r="A61" s="25">
        <v>45627</v>
      </c>
      <c r="B61" s="8">
        <v>13459</v>
      </c>
      <c r="C61" s="26">
        <f t="shared" si="1"/>
        <v>13710.473124226748</v>
      </c>
      <c r="D61" s="29">
        <f t="shared" si="11"/>
        <v>1.02166679423745</v>
      </c>
      <c r="E61">
        <f t="shared" si="3"/>
        <v>14007.535124307456</v>
      </c>
    </row>
    <row r="62" spans="1:5" x14ac:dyDescent="0.25">
      <c r="A62" s="25">
        <v>45658</v>
      </c>
      <c r="C62" s="26">
        <f t="shared" ref="C62:C109" si="13">+$G$2+$G$3*A62</f>
        <v>13739.180352364147</v>
      </c>
      <c r="D62" s="29">
        <f t="shared" si="11"/>
        <v>0.90676088503464225</v>
      </c>
      <c r="E62">
        <f t="shared" ref="E62:E109" si="14">+C62*D62</f>
        <v>12458.151335960281</v>
      </c>
    </row>
    <row r="63" spans="1:5" x14ac:dyDescent="0.25">
      <c r="A63" s="25">
        <v>45689</v>
      </c>
      <c r="C63" s="26">
        <f t="shared" si="13"/>
        <v>13767.887580501538</v>
      </c>
      <c r="D63" s="29">
        <f t="shared" si="11"/>
        <v>0.85638638317564353</v>
      </c>
      <c r="E63">
        <f t="shared" si="14"/>
        <v>11790.631449034574</v>
      </c>
    </row>
    <row r="64" spans="1:5" x14ac:dyDescent="0.25">
      <c r="A64" s="25">
        <v>45717</v>
      </c>
      <c r="C64" s="26">
        <f t="shared" si="13"/>
        <v>13793.816689786927</v>
      </c>
      <c r="D64" s="29">
        <f t="shared" si="11"/>
        <v>0.91611746872489164</v>
      </c>
      <c r="E64">
        <f t="shared" si="14"/>
        <v>12636.756429902764</v>
      </c>
    </row>
    <row r="65" spans="1:5" x14ac:dyDescent="0.25">
      <c r="A65" s="25">
        <v>45748</v>
      </c>
      <c r="C65" s="26">
        <f t="shared" si="13"/>
        <v>13822.523917924318</v>
      </c>
      <c r="D65" s="29">
        <f t="shared" si="11"/>
        <v>1.0013591307726297</v>
      </c>
      <c r="E65">
        <f t="shared" si="14"/>
        <v>13841.310535536579</v>
      </c>
    </row>
    <row r="66" spans="1:5" x14ac:dyDescent="0.25">
      <c r="A66" s="25">
        <v>45778</v>
      </c>
      <c r="C66" s="26">
        <f t="shared" si="13"/>
        <v>13850.305106444375</v>
      </c>
      <c r="D66" s="29">
        <f t="shared" si="11"/>
        <v>1.0555292641371643</v>
      </c>
      <c r="E66">
        <f t="shared" si="14"/>
        <v>14619.40235708044</v>
      </c>
    </row>
    <row r="67" spans="1:5" x14ac:dyDescent="0.25">
      <c r="A67" s="25">
        <v>45809</v>
      </c>
      <c r="C67" s="26">
        <f t="shared" si="13"/>
        <v>13879.012334581766</v>
      </c>
      <c r="D67" s="29">
        <f t="shared" si="11"/>
        <v>1.0193937269333087</v>
      </c>
      <c r="E67">
        <f t="shared" si="14"/>
        <v>14148.178109902668</v>
      </c>
    </row>
    <row r="68" spans="1:5" x14ac:dyDescent="0.25">
      <c r="A68" s="25">
        <v>45839</v>
      </c>
      <c r="C68" s="26">
        <f t="shared" si="13"/>
        <v>13906.793523101824</v>
      </c>
      <c r="D68" s="29">
        <f t="shared" si="11"/>
        <v>1.0939365346633154</v>
      </c>
      <c r="E68">
        <f t="shared" si="14"/>
        <v>15213.149514940249</v>
      </c>
    </row>
    <row r="69" spans="1:5" x14ac:dyDescent="0.25">
      <c r="A69" s="25">
        <v>45870</v>
      </c>
      <c r="C69" s="26">
        <f t="shared" si="13"/>
        <v>13935.500751239215</v>
      </c>
      <c r="D69" s="29">
        <f t="shared" si="11"/>
        <v>1.0885395986968076</v>
      </c>
      <c r="E69">
        <f t="shared" si="14"/>
        <v>15169.344395392996</v>
      </c>
    </row>
    <row r="70" spans="1:5" x14ac:dyDescent="0.25">
      <c r="A70" s="25">
        <v>45901</v>
      </c>
      <c r="C70" s="26">
        <f t="shared" si="13"/>
        <v>13964.207979376613</v>
      </c>
      <c r="D70" s="29">
        <f t="shared" si="11"/>
        <v>1.0554656726588518</v>
      </c>
      <c r="E70">
        <f t="shared" si="14"/>
        <v>14738.742168100844</v>
      </c>
    </row>
    <row r="71" spans="1:5" x14ac:dyDescent="0.25">
      <c r="A71" s="25">
        <v>45931</v>
      </c>
      <c r="C71" s="26">
        <f t="shared" si="13"/>
        <v>13991.989167896671</v>
      </c>
      <c r="D71" s="29">
        <f t="shared" si="11"/>
        <v>1.0145090252186328</v>
      </c>
      <c r="E71">
        <f t="shared" si="14"/>
        <v>14194.999291592521</v>
      </c>
    </row>
    <row r="72" spans="1:5" x14ac:dyDescent="0.25">
      <c r="A72" s="25">
        <v>45962</v>
      </c>
      <c r="C72" s="26">
        <f t="shared" si="13"/>
        <v>14020.696396034062</v>
      </c>
      <c r="D72" s="29">
        <f t="shared" si="11"/>
        <v>0.97033551574666199</v>
      </c>
      <c r="E72">
        <f t="shared" si="14"/>
        <v>13604.779668573075</v>
      </c>
    </row>
    <row r="73" spans="1:5" x14ac:dyDescent="0.25">
      <c r="A73" s="25">
        <v>45992</v>
      </c>
      <c r="C73" s="26">
        <f t="shared" si="13"/>
        <v>14048.477584554119</v>
      </c>
      <c r="D73" s="29">
        <f t="shared" si="11"/>
        <v>1.02166679423745</v>
      </c>
      <c r="E73">
        <f t="shared" si="14"/>
        <v>14352.863057728082</v>
      </c>
    </row>
    <row r="74" spans="1:5" x14ac:dyDescent="0.25">
      <c r="A74" s="25">
        <v>46023</v>
      </c>
      <c r="C74" s="26">
        <f t="shared" si="13"/>
        <v>14077.18481269151</v>
      </c>
      <c r="D74" s="29">
        <f t="shared" si="11"/>
        <v>0.90676088503464225</v>
      </c>
      <c r="E74">
        <f t="shared" si="14"/>
        <v>12764.640559552377</v>
      </c>
    </row>
    <row r="75" spans="1:5" x14ac:dyDescent="0.25">
      <c r="A75" s="25">
        <v>46054</v>
      </c>
      <c r="C75" s="26">
        <f t="shared" si="13"/>
        <v>14105.892040828909</v>
      </c>
      <c r="D75" s="29">
        <f t="shared" si="11"/>
        <v>0.85638638317564353</v>
      </c>
      <c r="E75">
        <f t="shared" si="14"/>
        <v>12080.093866311567</v>
      </c>
    </row>
    <row r="76" spans="1:5" x14ac:dyDescent="0.25">
      <c r="A76" s="25">
        <v>46082</v>
      </c>
      <c r="C76" s="26">
        <f t="shared" si="13"/>
        <v>14131.821150114291</v>
      </c>
      <c r="D76" s="29">
        <f t="shared" si="11"/>
        <v>0.91611746872489164</v>
      </c>
      <c r="E76">
        <f t="shared" si="14"/>
        <v>12946.40822051559</v>
      </c>
    </row>
    <row r="77" spans="1:5" x14ac:dyDescent="0.25">
      <c r="A77" s="25">
        <v>46113</v>
      </c>
      <c r="C77" s="26">
        <f t="shared" si="13"/>
        <v>14160.528378251689</v>
      </c>
      <c r="D77" s="29">
        <f t="shared" si="11"/>
        <v>1.0013591307726297</v>
      </c>
      <c r="E77">
        <f t="shared" si="14"/>
        <v>14179.774388127267</v>
      </c>
    </row>
    <row r="78" spans="1:5" x14ac:dyDescent="0.25">
      <c r="A78" s="25">
        <v>46143</v>
      </c>
      <c r="C78" s="26">
        <f t="shared" si="13"/>
        <v>14188.309566771746</v>
      </c>
      <c r="D78" s="29">
        <f t="shared" si="11"/>
        <v>1.0555292641371643</v>
      </c>
      <c r="E78">
        <f t="shared" si="14"/>
        <v>14976.17595636487</v>
      </c>
    </row>
    <row r="79" spans="1:5" x14ac:dyDescent="0.25">
      <c r="A79" s="25">
        <v>46174</v>
      </c>
      <c r="C79" s="26">
        <f t="shared" si="13"/>
        <v>14217.016794909137</v>
      </c>
      <c r="D79" s="29">
        <f t="shared" ref="D79:D109" si="15">+D67</f>
        <v>1.0193937269333087</v>
      </c>
      <c r="E79">
        <f t="shared" si="14"/>
        <v>14492.737736435869</v>
      </c>
    </row>
    <row r="80" spans="1:5" x14ac:dyDescent="0.25">
      <c r="A80" s="25">
        <v>46204</v>
      </c>
      <c r="C80" s="26">
        <f t="shared" si="13"/>
        <v>14244.797983429195</v>
      </c>
      <c r="D80" s="29">
        <f t="shared" si="15"/>
        <v>1.0939365346633154</v>
      </c>
      <c r="E80">
        <f t="shared" si="14"/>
        <v>15582.904942971516</v>
      </c>
    </row>
    <row r="81" spans="1:5" x14ac:dyDescent="0.25">
      <c r="A81" s="25">
        <v>46235</v>
      </c>
      <c r="C81" s="26">
        <f t="shared" si="13"/>
        <v>14273.505211566586</v>
      </c>
      <c r="D81" s="29">
        <f t="shared" si="15"/>
        <v>1.0885395986968076</v>
      </c>
      <c r="E81">
        <f t="shared" si="14"/>
        <v>15537.275634995483</v>
      </c>
    </row>
    <row r="82" spans="1:5" x14ac:dyDescent="0.25">
      <c r="A82" s="25">
        <v>46266</v>
      </c>
      <c r="C82" s="26">
        <f t="shared" si="13"/>
        <v>14302.212439703977</v>
      </c>
      <c r="D82" s="29">
        <f t="shared" si="15"/>
        <v>1.0554656726588518</v>
      </c>
      <c r="E82">
        <f t="shared" si="14"/>
        <v>15095.494273181956</v>
      </c>
    </row>
    <row r="83" spans="1:5" x14ac:dyDescent="0.25">
      <c r="A83" s="25">
        <v>46296</v>
      </c>
      <c r="C83" s="26">
        <f t="shared" si="13"/>
        <v>14329.993628224041</v>
      </c>
      <c r="D83" s="29">
        <f t="shared" si="15"/>
        <v>1.0145090252186328</v>
      </c>
      <c r="E83">
        <f t="shared" si="14"/>
        <v>14537.907867158792</v>
      </c>
    </row>
    <row r="84" spans="1:5" x14ac:dyDescent="0.25">
      <c r="A84" s="25">
        <v>46327</v>
      </c>
      <c r="C84" s="26">
        <f t="shared" si="13"/>
        <v>14358.700856361433</v>
      </c>
      <c r="D84" s="29">
        <f t="shared" si="15"/>
        <v>0.97033551574666199</v>
      </c>
      <c r="E84">
        <f t="shared" si="14"/>
        <v>13932.757400909508</v>
      </c>
    </row>
    <row r="85" spans="1:5" x14ac:dyDescent="0.25">
      <c r="A85" s="25">
        <v>46357</v>
      </c>
      <c r="C85" s="26">
        <f t="shared" si="13"/>
        <v>14386.48204488149</v>
      </c>
      <c r="D85" s="29">
        <f t="shared" si="15"/>
        <v>1.02166679423745</v>
      </c>
      <c r="E85">
        <f t="shared" si="14"/>
        <v>14698.190991148706</v>
      </c>
    </row>
    <row r="86" spans="1:5" x14ac:dyDescent="0.25">
      <c r="A86" s="25">
        <v>46388</v>
      </c>
      <c r="C86" s="26">
        <f t="shared" si="13"/>
        <v>14415.189273018881</v>
      </c>
      <c r="D86" s="29">
        <f t="shared" si="15"/>
        <v>0.90676088503464225</v>
      </c>
      <c r="E86">
        <f t="shared" si="14"/>
        <v>13071.129783144483</v>
      </c>
    </row>
    <row r="87" spans="1:5" x14ac:dyDescent="0.25">
      <c r="A87" s="25">
        <v>46419</v>
      </c>
      <c r="C87" s="26">
        <f t="shared" si="13"/>
        <v>14443.896501156272</v>
      </c>
      <c r="D87" s="29">
        <f t="shared" si="15"/>
        <v>0.85638638317564353</v>
      </c>
      <c r="E87">
        <f t="shared" si="14"/>
        <v>12369.556283588552</v>
      </c>
    </row>
    <row r="88" spans="1:5" x14ac:dyDescent="0.25">
      <c r="A88" s="25">
        <v>46447</v>
      </c>
      <c r="C88" s="26">
        <f t="shared" si="13"/>
        <v>14469.825610441661</v>
      </c>
      <c r="D88" s="29">
        <f t="shared" si="15"/>
        <v>0.91611746872489164</v>
      </c>
      <c r="E88">
        <f t="shared" si="14"/>
        <v>13256.060011128426</v>
      </c>
    </row>
    <row r="89" spans="1:5" x14ac:dyDescent="0.25">
      <c r="A89" s="25">
        <v>46478</v>
      </c>
      <c r="C89" s="26">
        <f t="shared" si="13"/>
        <v>14498.532838579053</v>
      </c>
      <c r="D89" s="29">
        <f t="shared" si="15"/>
        <v>1.0013591307726297</v>
      </c>
      <c r="E89">
        <f t="shared" si="14"/>
        <v>14518.238240717948</v>
      </c>
    </row>
    <row r="90" spans="1:5" x14ac:dyDescent="0.25">
      <c r="A90" s="25">
        <v>46508</v>
      </c>
      <c r="C90" s="26">
        <f t="shared" si="13"/>
        <v>14526.31402709911</v>
      </c>
      <c r="D90" s="29">
        <f t="shared" si="15"/>
        <v>1.0555292641371643</v>
      </c>
      <c r="E90">
        <f t="shared" si="14"/>
        <v>15332.949555649291</v>
      </c>
    </row>
    <row r="91" spans="1:5" x14ac:dyDescent="0.25">
      <c r="A91" s="25">
        <v>46539</v>
      </c>
      <c r="C91" s="26">
        <f t="shared" si="13"/>
        <v>14555.021255236508</v>
      </c>
      <c r="D91" s="29">
        <f t="shared" si="15"/>
        <v>1.0193937269333087</v>
      </c>
      <c r="E91">
        <f t="shared" si="14"/>
        <v>14837.297362969068</v>
      </c>
    </row>
    <row r="92" spans="1:5" x14ac:dyDescent="0.25">
      <c r="A92" s="25">
        <v>46569</v>
      </c>
      <c r="C92" s="26">
        <f t="shared" si="13"/>
        <v>14582.802443756565</v>
      </c>
      <c r="D92" s="29">
        <f t="shared" si="15"/>
        <v>1.0939365346633154</v>
      </c>
      <c r="E92">
        <f t="shared" si="14"/>
        <v>15952.660371002785</v>
      </c>
    </row>
    <row r="93" spans="1:5" x14ac:dyDescent="0.25">
      <c r="A93" s="25">
        <v>46600</v>
      </c>
      <c r="C93" s="26">
        <f t="shared" si="13"/>
        <v>14611.509671893957</v>
      </c>
      <c r="D93" s="29">
        <f t="shared" si="15"/>
        <v>1.0885395986968076</v>
      </c>
      <c r="E93">
        <f t="shared" si="14"/>
        <v>15905.20687459797</v>
      </c>
    </row>
    <row r="94" spans="1:5" x14ac:dyDescent="0.25">
      <c r="A94" s="25">
        <v>46631</v>
      </c>
      <c r="C94" s="26">
        <f t="shared" si="13"/>
        <v>14640.216900031348</v>
      </c>
      <c r="D94" s="29">
        <f t="shared" si="15"/>
        <v>1.0554656726588518</v>
      </c>
      <c r="E94">
        <f t="shared" si="14"/>
        <v>15452.246378263077</v>
      </c>
    </row>
    <row r="95" spans="1:5" x14ac:dyDescent="0.25">
      <c r="A95" s="25">
        <v>46661</v>
      </c>
      <c r="C95" s="26">
        <f t="shared" si="13"/>
        <v>14667.998088551405</v>
      </c>
      <c r="D95" s="29">
        <f t="shared" si="15"/>
        <v>1.0145090252186328</v>
      </c>
      <c r="E95">
        <f t="shared" si="14"/>
        <v>14880.816442725056</v>
      </c>
    </row>
    <row r="96" spans="1:5" x14ac:dyDescent="0.25">
      <c r="A96" s="25">
        <v>46692</v>
      </c>
      <c r="C96" s="26">
        <f t="shared" si="13"/>
        <v>14696.705316688804</v>
      </c>
      <c r="D96" s="29">
        <f t="shared" si="15"/>
        <v>0.97033551574666199</v>
      </c>
      <c r="E96">
        <f t="shared" si="14"/>
        <v>14260.73513324594</v>
      </c>
    </row>
    <row r="97" spans="1:5" x14ac:dyDescent="0.25">
      <c r="A97" s="25">
        <v>46722</v>
      </c>
      <c r="C97" s="26">
        <f t="shared" si="13"/>
        <v>14724.486505208861</v>
      </c>
      <c r="D97" s="29">
        <f t="shared" si="15"/>
        <v>1.02166679423745</v>
      </c>
      <c r="E97">
        <f t="shared" si="14"/>
        <v>15043.518924569331</v>
      </c>
    </row>
    <row r="98" spans="1:5" x14ac:dyDescent="0.25">
      <c r="A98" s="25">
        <v>46753</v>
      </c>
      <c r="C98" s="26">
        <f t="shared" si="13"/>
        <v>14753.193733346252</v>
      </c>
      <c r="D98" s="29">
        <f t="shared" si="15"/>
        <v>0.90676088503464225</v>
      </c>
      <c r="E98">
        <f t="shared" si="14"/>
        <v>13377.619006736586</v>
      </c>
    </row>
    <row r="99" spans="1:5" x14ac:dyDescent="0.25">
      <c r="A99" s="25">
        <v>46784</v>
      </c>
      <c r="C99" s="26">
        <f t="shared" si="13"/>
        <v>14781.900961483643</v>
      </c>
      <c r="D99" s="29">
        <f t="shared" si="15"/>
        <v>0.85638638317564353</v>
      </c>
      <c r="E99">
        <f t="shared" si="14"/>
        <v>12659.018700865545</v>
      </c>
    </row>
    <row r="100" spans="1:5" x14ac:dyDescent="0.25">
      <c r="A100" s="25">
        <v>46813</v>
      </c>
      <c r="C100" s="26">
        <f t="shared" si="13"/>
        <v>14808.756110386366</v>
      </c>
      <c r="D100" s="29">
        <f t="shared" si="15"/>
        <v>0.91611746872489164</v>
      </c>
      <c r="E100">
        <f t="shared" si="14"/>
        <v>13566.560162811429</v>
      </c>
    </row>
    <row r="101" spans="1:5" x14ac:dyDescent="0.25">
      <c r="A101" s="25">
        <v>46844</v>
      </c>
      <c r="C101" s="26">
        <f t="shared" si="13"/>
        <v>14837.463338523758</v>
      </c>
      <c r="D101" s="29">
        <f t="shared" si="15"/>
        <v>1.0013591307726297</v>
      </c>
      <c r="E101">
        <f t="shared" si="14"/>
        <v>14857.629391534911</v>
      </c>
    </row>
    <row r="102" spans="1:5" x14ac:dyDescent="0.25">
      <c r="A102" s="25">
        <v>46874</v>
      </c>
      <c r="C102" s="26">
        <f t="shared" si="13"/>
        <v>14865.244527043815</v>
      </c>
      <c r="D102" s="29">
        <f t="shared" si="15"/>
        <v>1.0555292641371643</v>
      </c>
      <c r="E102">
        <f t="shared" si="14"/>
        <v>15690.700616849566</v>
      </c>
    </row>
    <row r="103" spans="1:5" x14ac:dyDescent="0.25">
      <c r="A103" s="25">
        <v>46905</v>
      </c>
      <c r="C103" s="26">
        <f t="shared" si="13"/>
        <v>14893.951755181213</v>
      </c>
      <c r="D103" s="29">
        <f t="shared" si="15"/>
        <v>1.0193937269333087</v>
      </c>
      <c r="E103">
        <f t="shared" si="14"/>
        <v>15182.80098847907</v>
      </c>
    </row>
    <row r="104" spans="1:5" x14ac:dyDescent="0.25">
      <c r="A104" s="25">
        <v>46935</v>
      </c>
      <c r="C104" s="26">
        <f t="shared" si="13"/>
        <v>14921.73294370127</v>
      </c>
      <c r="D104" s="29">
        <f t="shared" si="15"/>
        <v>1.0939365346633154</v>
      </c>
      <c r="E104">
        <f t="shared" si="14"/>
        <v>16323.428827604001</v>
      </c>
    </row>
    <row r="105" spans="1:5" x14ac:dyDescent="0.25">
      <c r="A105" s="25">
        <v>46966</v>
      </c>
      <c r="C105" s="26">
        <f t="shared" si="13"/>
        <v>14950.440171838662</v>
      </c>
      <c r="D105" s="29">
        <f t="shared" si="15"/>
        <v>1.0885395986968076</v>
      </c>
      <c r="E105">
        <f t="shared" si="14"/>
        <v>16274.146144993889</v>
      </c>
    </row>
    <row r="106" spans="1:5" x14ac:dyDescent="0.25">
      <c r="A106" s="25">
        <v>46997</v>
      </c>
      <c r="C106" s="26">
        <f t="shared" si="13"/>
        <v>14979.147399976053</v>
      </c>
      <c r="D106" s="29">
        <f t="shared" si="15"/>
        <v>1.0554656726588518</v>
      </c>
      <c r="E106">
        <f t="shared" si="14"/>
        <v>15809.975886371816</v>
      </c>
    </row>
    <row r="107" spans="1:5" x14ac:dyDescent="0.25">
      <c r="A107" s="25">
        <v>47027</v>
      </c>
      <c r="C107" s="26">
        <f t="shared" si="13"/>
        <v>15006.92858849611</v>
      </c>
      <c r="D107" s="29">
        <f t="shared" si="15"/>
        <v>1.0145090252186328</v>
      </c>
      <c r="E107">
        <f t="shared" si="14"/>
        <v>15224.664493840823</v>
      </c>
    </row>
    <row r="108" spans="1:5" x14ac:dyDescent="0.25">
      <c r="A108" s="25">
        <v>47058</v>
      </c>
      <c r="C108" s="26">
        <f t="shared" si="13"/>
        <v>15035.635816633501</v>
      </c>
      <c r="D108" s="29">
        <f t="shared" si="15"/>
        <v>0.97033551574666199</v>
      </c>
      <c r="E108">
        <f t="shared" si="14"/>
        <v>14589.611434712051</v>
      </c>
    </row>
    <row r="109" spans="1:5" x14ac:dyDescent="0.25">
      <c r="A109" s="25">
        <v>47088</v>
      </c>
      <c r="C109" s="26">
        <f t="shared" si="13"/>
        <v>15063.417005153566</v>
      </c>
      <c r="D109" s="29">
        <f t="shared" si="15"/>
        <v>1.02166679423745</v>
      </c>
      <c r="E109">
        <f t="shared" si="14"/>
        <v>15389.792961917134</v>
      </c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zoomScaleNormal="100" workbookViewId="0">
      <pane ySplit="4" topLeftCell="A5" activePane="bottomLeft" state="frozen"/>
      <selection pane="bottomLeft" sqref="A1:C1"/>
    </sheetView>
  </sheetViews>
  <sheetFormatPr baseColWidth="10" defaultColWidth="8.7109375" defaultRowHeight="15" x14ac:dyDescent="0.25"/>
  <cols>
    <col min="1" max="3" width="8" customWidth="1"/>
    <col min="4" max="8" width="22" customWidth="1"/>
  </cols>
  <sheetData>
    <row r="1" spans="1:8" ht="27.75" customHeight="1" x14ac:dyDescent="0.25">
      <c r="A1" s="4" t="s">
        <v>23</v>
      </c>
      <c r="B1" s="4"/>
      <c r="C1" s="4"/>
    </row>
    <row r="2" spans="1:8" x14ac:dyDescent="0.25">
      <c r="A2" s="3" t="s">
        <v>24</v>
      </c>
      <c r="B2" s="3"/>
      <c r="C2" s="3"/>
    </row>
    <row r="4" spans="1:8" ht="51.75" customHeight="1" x14ac:dyDescent="0.25">
      <c r="A4" s="5" t="s">
        <v>2</v>
      </c>
      <c r="B4" s="5" t="s">
        <v>3</v>
      </c>
      <c r="C4" s="5" t="s">
        <v>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</row>
    <row r="5" spans="1:8" x14ac:dyDescent="0.25">
      <c r="A5" s="7">
        <v>2020</v>
      </c>
      <c r="B5" s="7" t="s">
        <v>10</v>
      </c>
      <c r="C5" s="7">
        <v>1</v>
      </c>
      <c r="D5" s="13">
        <f>'Ventas Mensuales'!D5*4.8</f>
        <v>51820.799999999996</v>
      </c>
      <c r="E5" s="13">
        <f>'Ventas Mensuales'!E5*38.5</f>
        <v>109571</v>
      </c>
      <c r="F5" s="13">
        <f>'Ventas Mensuales'!F5*95</f>
        <v>64505</v>
      </c>
      <c r="G5" s="13">
        <f>'Ventas Mensuales'!G5*12.3</f>
        <v>64132.200000000004</v>
      </c>
      <c r="H5" s="13">
        <f>'Ventas Mensuales'!H5*48</f>
        <v>48240</v>
      </c>
    </row>
    <row r="6" spans="1:8" x14ac:dyDescent="0.25">
      <c r="A6" s="7">
        <v>2020</v>
      </c>
      <c r="B6" s="7" t="s">
        <v>11</v>
      </c>
      <c r="C6" s="7">
        <v>2</v>
      </c>
      <c r="D6" s="13">
        <f>'Ventas Mensuales'!D6*4.8</f>
        <v>50342.400000000001</v>
      </c>
      <c r="E6" s="13">
        <f>'Ventas Mensuales'!E6*38.5</f>
        <v>121737</v>
      </c>
      <c r="F6" s="13">
        <f>'Ventas Mensuales'!F6*95</f>
        <v>60325</v>
      </c>
      <c r="G6" s="13">
        <f>'Ventas Mensuales'!G6*12.3</f>
        <v>64009.200000000004</v>
      </c>
      <c r="H6" s="13">
        <f>'Ventas Mensuales'!H6*48</f>
        <v>41520</v>
      </c>
    </row>
    <row r="7" spans="1:8" x14ac:dyDescent="0.25">
      <c r="A7" s="7">
        <v>2020</v>
      </c>
      <c r="B7" s="7" t="s">
        <v>12</v>
      </c>
      <c r="C7" s="7">
        <v>3</v>
      </c>
      <c r="D7" s="13">
        <f>'Ventas Mensuales'!D7*4.8</f>
        <v>52257.599999999999</v>
      </c>
      <c r="E7" s="13">
        <f>'Ventas Mensuales'!E7*38.5</f>
        <v>128128</v>
      </c>
      <c r="F7" s="13">
        <f>'Ventas Mensuales'!F7*95</f>
        <v>66690</v>
      </c>
      <c r="G7" s="13">
        <f>'Ventas Mensuales'!G7*12.3</f>
        <v>68953.8</v>
      </c>
      <c r="H7" s="13">
        <f>'Ventas Mensuales'!H7*48</f>
        <v>51360</v>
      </c>
    </row>
    <row r="8" spans="1:8" x14ac:dyDescent="0.25">
      <c r="A8" s="7">
        <v>2020</v>
      </c>
      <c r="B8" s="7" t="s">
        <v>13</v>
      </c>
      <c r="C8" s="7">
        <v>4</v>
      </c>
      <c r="D8" s="13">
        <f>'Ventas Mensuales'!D8*4.8</f>
        <v>56856</v>
      </c>
      <c r="E8" s="13">
        <f>'Ventas Mensuales'!E8*38.5</f>
        <v>126164.5</v>
      </c>
      <c r="F8" s="13">
        <f>'Ventas Mensuales'!F8*95</f>
        <v>75525</v>
      </c>
      <c r="G8" s="13">
        <f>'Ventas Mensuales'!G8*12.3</f>
        <v>78437.100000000006</v>
      </c>
      <c r="H8" s="13">
        <f>'Ventas Mensuales'!H8*48</f>
        <v>47664</v>
      </c>
    </row>
    <row r="9" spans="1:8" x14ac:dyDescent="0.25">
      <c r="A9" s="7">
        <v>2020</v>
      </c>
      <c r="B9" s="7" t="s">
        <v>14</v>
      </c>
      <c r="C9" s="7">
        <v>5</v>
      </c>
      <c r="D9" s="13">
        <f>'Ventas Mensuales'!D9*4.8</f>
        <v>61627.199999999997</v>
      </c>
      <c r="E9" s="13">
        <f>'Ventas Mensuales'!E9*38.5</f>
        <v>141795.5</v>
      </c>
      <c r="F9" s="13">
        <f>'Ventas Mensuales'!F9*95</f>
        <v>75525</v>
      </c>
      <c r="G9" s="13">
        <f>'Ventas Mensuales'!G9*12.3</f>
        <v>73492.5</v>
      </c>
      <c r="H9" s="13">
        <f>'Ventas Mensuales'!H9*48</f>
        <v>57792</v>
      </c>
    </row>
    <row r="10" spans="1:8" x14ac:dyDescent="0.25">
      <c r="A10" s="7">
        <v>2020</v>
      </c>
      <c r="B10" s="7" t="s">
        <v>15</v>
      </c>
      <c r="C10" s="7">
        <v>6</v>
      </c>
      <c r="D10" s="13">
        <f>'Ventas Mensuales'!D10*4.8</f>
        <v>58900.799999999996</v>
      </c>
      <c r="E10" s="13">
        <f>'Ventas Mensuales'!E10*38.5</f>
        <v>132286</v>
      </c>
      <c r="F10" s="13">
        <f>'Ventas Mensuales'!F10*95</f>
        <v>74670</v>
      </c>
      <c r="G10" s="13">
        <f>'Ventas Mensuales'!G10*12.3</f>
        <v>84525.6</v>
      </c>
      <c r="H10" s="13">
        <f>'Ventas Mensuales'!H10*48</f>
        <v>56352</v>
      </c>
    </row>
    <row r="11" spans="1:8" x14ac:dyDescent="0.25">
      <c r="A11" s="7">
        <v>2020</v>
      </c>
      <c r="B11" s="7" t="s">
        <v>16</v>
      </c>
      <c r="C11" s="7">
        <v>7</v>
      </c>
      <c r="D11" s="13">
        <f>'Ventas Mensuales'!D11*4.8</f>
        <v>65265.599999999999</v>
      </c>
      <c r="E11" s="13">
        <f>'Ventas Mensuales'!E11*38.5</f>
        <v>150881.5</v>
      </c>
      <c r="F11" s="13">
        <f>'Ventas Mensuales'!F11*95</f>
        <v>82555</v>
      </c>
      <c r="G11" s="13">
        <f>'Ventas Mensuales'!G11*12.3</f>
        <v>88596.900000000009</v>
      </c>
      <c r="H11" s="13">
        <f>'Ventas Mensuales'!H11*48</f>
        <v>55920</v>
      </c>
    </row>
    <row r="12" spans="1:8" x14ac:dyDescent="0.25">
      <c r="A12" s="7">
        <v>2020</v>
      </c>
      <c r="B12" s="7" t="s">
        <v>17</v>
      </c>
      <c r="C12" s="7">
        <v>8</v>
      </c>
      <c r="D12" s="13">
        <f>'Ventas Mensuales'!D12*4.8</f>
        <v>63888</v>
      </c>
      <c r="E12" s="13">
        <f>'Ventas Mensuales'!E12*38.5</f>
        <v>156040.5</v>
      </c>
      <c r="F12" s="13">
        <f>'Ventas Mensuales'!F12*95</f>
        <v>85215</v>
      </c>
      <c r="G12" s="13">
        <f>'Ventas Mensuales'!G12*12.3</f>
        <v>88744.5</v>
      </c>
      <c r="H12" s="13">
        <f>'Ventas Mensuales'!H12*48</f>
        <v>58800</v>
      </c>
    </row>
    <row r="13" spans="1:8" x14ac:dyDescent="0.25">
      <c r="A13" s="7">
        <v>2020</v>
      </c>
      <c r="B13" s="7" t="s">
        <v>18</v>
      </c>
      <c r="C13" s="7">
        <v>9</v>
      </c>
      <c r="D13" s="13">
        <f>'Ventas Mensuales'!D13*4.8</f>
        <v>63052.799999999996</v>
      </c>
      <c r="E13" s="13">
        <f>'Ventas Mensuales'!E13*38.5</f>
        <v>132440</v>
      </c>
      <c r="F13" s="13">
        <f>'Ventas Mensuales'!F13*95</f>
        <v>77045</v>
      </c>
      <c r="G13" s="13">
        <f>'Ventas Mensuales'!G13*12.3</f>
        <v>78117.3</v>
      </c>
      <c r="H13" s="13">
        <f>'Ventas Mensuales'!H13*48</f>
        <v>52224</v>
      </c>
    </row>
    <row r="14" spans="1:8" x14ac:dyDescent="0.25">
      <c r="A14" s="7">
        <v>2020</v>
      </c>
      <c r="B14" s="7" t="s">
        <v>19</v>
      </c>
      <c r="C14" s="7">
        <v>10</v>
      </c>
      <c r="D14" s="13">
        <f>'Ventas Mensuales'!D14*4.8</f>
        <v>56241.599999999999</v>
      </c>
      <c r="E14" s="13">
        <f>'Ventas Mensuales'!E14*38.5</f>
        <v>128667</v>
      </c>
      <c r="F14" s="13">
        <f>'Ventas Mensuales'!F14*95</f>
        <v>74765</v>
      </c>
      <c r="G14" s="13">
        <f>'Ventas Mensuales'!G14*12.3</f>
        <v>79470.3</v>
      </c>
      <c r="H14" s="13">
        <f>'Ventas Mensuales'!H14*48</f>
        <v>52704</v>
      </c>
    </row>
    <row r="15" spans="1:8" x14ac:dyDescent="0.25">
      <c r="A15" s="7">
        <v>2020</v>
      </c>
      <c r="B15" s="7" t="s">
        <v>20</v>
      </c>
      <c r="C15" s="7">
        <v>11</v>
      </c>
      <c r="D15" s="13">
        <f>'Ventas Mensuales'!D15*4.8</f>
        <v>55276.799999999996</v>
      </c>
      <c r="E15" s="13">
        <f>'Ventas Mensuales'!E15*38.5</f>
        <v>125933.5</v>
      </c>
      <c r="F15" s="13">
        <f>'Ventas Mensuales'!F15*95</f>
        <v>71725</v>
      </c>
      <c r="G15" s="13">
        <f>'Ventas Mensuales'!G15*12.3</f>
        <v>79950</v>
      </c>
      <c r="H15" s="13">
        <f>'Ventas Mensuales'!H15*48</f>
        <v>52992</v>
      </c>
    </row>
    <row r="16" spans="1:8" x14ac:dyDescent="0.25">
      <c r="A16" s="7">
        <v>2020</v>
      </c>
      <c r="B16" s="7" t="s">
        <v>21</v>
      </c>
      <c r="C16" s="7">
        <v>12</v>
      </c>
      <c r="D16" s="13">
        <f>'Ventas Mensuales'!D16*4.8</f>
        <v>60364.799999999996</v>
      </c>
      <c r="E16" s="13">
        <f>'Ventas Mensuales'!E16*38.5</f>
        <v>131477.5</v>
      </c>
      <c r="F16" s="13">
        <f>'Ventas Mensuales'!F16*95</f>
        <v>81130</v>
      </c>
      <c r="G16" s="13">
        <f>'Ventas Mensuales'!G16*12.3</f>
        <v>74316.600000000006</v>
      </c>
      <c r="H16" s="13">
        <f>'Ventas Mensuales'!H16*48</f>
        <v>53328</v>
      </c>
    </row>
    <row r="17" spans="1:8" x14ac:dyDescent="0.25">
      <c r="A17" s="9">
        <v>2021</v>
      </c>
      <c r="B17" s="9" t="s">
        <v>10</v>
      </c>
      <c r="C17" s="9">
        <v>1</v>
      </c>
      <c r="D17" s="14">
        <f>'Ventas Mensuales'!D17*4.8</f>
        <v>58483.199999999997</v>
      </c>
      <c r="E17" s="14">
        <f>'Ventas Mensuales'!E17*38.5</f>
        <v>129706.5</v>
      </c>
      <c r="F17" s="14">
        <f>'Ventas Mensuales'!F17*95</f>
        <v>72200</v>
      </c>
      <c r="G17" s="14">
        <f>'Ventas Mensuales'!G17*12.3</f>
        <v>73923</v>
      </c>
      <c r="H17" s="14">
        <f>'Ventas Mensuales'!H17*48</f>
        <v>52464</v>
      </c>
    </row>
    <row r="18" spans="1:8" x14ac:dyDescent="0.25">
      <c r="A18" s="9">
        <v>2021</v>
      </c>
      <c r="B18" s="9" t="s">
        <v>11</v>
      </c>
      <c r="C18" s="9">
        <v>2</v>
      </c>
      <c r="D18" s="14">
        <f>'Ventas Mensuales'!D18*4.8</f>
        <v>54700.799999999996</v>
      </c>
      <c r="E18" s="14">
        <f>'Ventas Mensuales'!E18*38.5</f>
        <v>117232.5</v>
      </c>
      <c r="F18" s="14">
        <f>'Ventas Mensuales'!F18*95</f>
        <v>63935</v>
      </c>
      <c r="G18" s="14">
        <f>'Ventas Mensuales'!G18*12.3</f>
        <v>67305.600000000006</v>
      </c>
      <c r="H18" s="14">
        <f>'Ventas Mensuales'!H18*48</f>
        <v>46224</v>
      </c>
    </row>
    <row r="19" spans="1:8" x14ac:dyDescent="0.25">
      <c r="A19" s="9">
        <v>2021</v>
      </c>
      <c r="B19" s="9" t="s">
        <v>12</v>
      </c>
      <c r="C19" s="9">
        <v>3</v>
      </c>
      <c r="D19" s="14">
        <f>'Ventas Mensuales'!D19*4.8</f>
        <v>55843.199999999997</v>
      </c>
      <c r="E19" s="14">
        <f>'Ventas Mensuales'!E19*38.5</f>
        <v>146685</v>
      </c>
      <c r="F19" s="14">
        <f>'Ventas Mensuales'!F19*95</f>
        <v>81890</v>
      </c>
      <c r="G19" s="14">
        <f>'Ventas Mensuales'!G19*12.3</f>
        <v>75214.5</v>
      </c>
      <c r="H19" s="14">
        <f>'Ventas Mensuales'!H19*48</f>
        <v>55008</v>
      </c>
    </row>
    <row r="20" spans="1:8" x14ac:dyDescent="0.25">
      <c r="A20" s="9">
        <v>2021</v>
      </c>
      <c r="B20" s="9" t="s">
        <v>13</v>
      </c>
      <c r="C20" s="9">
        <v>4</v>
      </c>
      <c r="D20" s="14">
        <f>'Ventas Mensuales'!D20*4.8</f>
        <v>59390.399999999994</v>
      </c>
      <c r="E20" s="14">
        <f>'Ventas Mensuales'!E20*38.5</f>
        <v>150689</v>
      </c>
      <c r="F20" s="14">
        <f>'Ventas Mensuales'!F20*95</f>
        <v>79135</v>
      </c>
      <c r="G20" s="14">
        <f>'Ventas Mensuales'!G20*12.3</f>
        <v>76961.100000000006</v>
      </c>
      <c r="H20" s="14">
        <f>'Ventas Mensuales'!H20*48</f>
        <v>53136</v>
      </c>
    </row>
    <row r="21" spans="1:8" x14ac:dyDescent="0.25">
      <c r="A21" s="9">
        <v>2021</v>
      </c>
      <c r="B21" s="9" t="s">
        <v>14</v>
      </c>
      <c r="C21" s="9">
        <v>5</v>
      </c>
      <c r="D21" s="14">
        <f>'Ventas Mensuales'!D21*4.8</f>
        <v>63480</v>
      </c>
      <c r="E21" s="14">
        <f>'Ventas Mensuales'!E21*38.5</f>
        <v>141487.5</v>
      </c>
      <c r="F21" s="14">
        <f>'Ventas Mensuales'!F21*95</f>
        <v>84075</v>
      </c>
      <c r="G21" s="14">
        <f>'Ventas Mensuales'!G21*12.3</f>
        <v>88523.1</v>
      </c>
      <c r="H21" s="14">
        <f>'Ventas Mensuales'!H21*48</f>
        <v>56688</v>
      </c>
    </row>
    <row r="22" spans="1:8" x14ac:dyDescent="0.25">
      <c r="A22" s="9">
        <v>2021</v>
      </c>
      <c r="B22" s="9" t="s">
        <v>15</v>
      </c>
      <c r="C22" s="9">
        <v>6</v>
      </c>
      <c r="D22" s="14">
        <f>'Ventas Mensuales'!D22*4.8</f>
        <v>61809.599999999999</v>
      </c>
      <c r="E22" s="14">
        <f>'Ventas Mensuales'!E22*38.5</f>
        <v>163432.5</v>
      </c>
      <c r="F22" s="14">
        <f>'Ventas Mensuales'!F22*95</f>
        <v>85500</v>
      </c>
      <c r="G22" s="14">
        <f>'Ventas Mensuales'!G22*12.3</f>
        <v>80073</v>
      </c>
      <c r="H22" s="14">
        <f>'Ventas Mensuales'!H22*48</f>
        <v>55008</v>
      </c>
    </row>
    <row r="23" spans="1:8" x14ac:dyDescent="0.25">
      <c r="A23" s="9">
        <v>2021</v>
      </c>
      <c r="B23" s="9" t="s">
        <v>16</v>
      </c>
      <c r="C23" s="9">
        <v>7</v>
      </c>
      <c r="D23" s="14">
        <f>'Ventas Mensuales'!D23*4.8</f>
        <v>62404.799999999996</v>
      </c>
      <c r="E23" s="14">
        <f>'Ventas Mensuales'!E23*38.5</f>
        <v>158889.5</v>
      </c>
      <c r="F23" s="14">
        <f>'Ventas Mensuales'!F23*95</f>
        <v>91960</v>
      </c>
      <c r="G23" s="14">
        <f>'Ventas Mensuales'!G23*12.3</f>
        <v>87022.5</v>
      </c>
      <c r="H23" s="14">
        <f>'Ventas Mensuales'!H23*48</f>
        <v>56736</v>
      </c>
    </row>
    <row r="24" spans="1:8" x14ac:dyDescent="0.25">
      <c r="A24" s="9">
        <v>2021</v>
      </c>
      <c r="B24" s="9" t="s">
        <v>17</v>
      </c>
      <c r="C24" s="9">
        <v>8</v>
      </c>
      <c r="D24" s="14">
        <f>'Ventas Mensuales'!D24*4.8</f>
        <v>66508.800000000003</v>
      </c>
      <c r="E24" s="14">
        <f>'Ventas Mensuales'!E24*38.5</f>
        <v>171209.5</v>
      </c>
      <c r="F24" s="14">
        <f>'Ventas Mensuales'!F24*95</f>
        <v>89870</v>
      </c>
      <c r="G24" s="14">
        <f>'Ventas Mensuales'!G24*12.3</f>
        <v>96518.1</v>
      </c>
      <c r="H24" s="14">
        <f>'Ventas Mensuales'!H24*48</f>
        <v>65712</v>
      </c>
    </row>
    <row r="25" spans="1:8" x14ac:dyDescent="0.25">
      <c r="A25" s="9">
        <v>2021</v>
      </c>
      <c r="B25" s="9" t="s">
        <v>18</v>
      </c>
      <c r="C25" s="9">
        <v>9</v>
      </c>
      <c r="D25" s="14">
        <f>'Ventas Mensuales'!D25*4.8</f>
        <v>60225.599999999999</v>
      </c>
      <c r="E25" s="14">
        <f>'Ventas Mensuales'!E25*38.5</f>
        <v>158235</v>
      </c>
      <c r="F25" s="14">
        <f>'Ventas Mensuales'!F25*95</f>
        <v>88730</v>
      </c>
      <c r="G25" s="14">
        <f>'Ventas Mensuales'!G25*12.3</f>
        <v>87010.200000000012</v>
      </c>
      <c r="H25" s="14">
        <f>'Ventas Mensuales'!H25*48</f>
        <v>57648</v>
      </c>
    </row>
    <row r="26" spans="1:8" x14ac:dyDescent="0.25">
      <c r="A26" s="9">
        <v>2021</v>
      </c>
      <c r="B26" s="9" t="s">
        <v>19</v>
      </c>
      <c r="C26" s="9">
        <v>10</v>
      </c>
      <c r="D26" s="14">
        <f>'Ventas Mensuales'!D26*4.8</f>
        <v>64281.599999999999</v>
      </c>
      <c r="E26" s="14">
        <f>'Ventas Mensuales'!E26*38.5</f>
        <v>137907</v>
      </c>
      <c r="F26" s="14">
        <f>'Ventas Mensuales'!F26*95</f>
        <v>82080</v>
      </c>
      <c r="G26" s="14">
        <f>'Ventas Mensuales'!G26*12.3</f>
        <v>82619.100000000006</v>
      </c>
      <c r="H26" s="14">
        <f>'Ventas Mensuales'!H26*48</f>
        <v>61824</v>
      </c>
    </row>
    <row r="27" spans="1:8" x14ac:dyDescent="0.25">
      <c r="A27" s="9">
        <v>2021</v>
      </c>
      <c r="B27" s="9" t="s">
        <v>20</v>
      </c>
      <c r="C27" s="9">
        <v>11</v>
      </c>
      <c r="D27" s="14">
        <f>'Ventas Mensuales'!D27*4.8</f>
        <v>64032</v>
      </c>
      <c r="E27" s="14">
        <f>'Ventas Mensuales'!E27*38.5</f>
        <v>135943.5</v>
      </c>
      <c r="F27" s="14">
        <f>'Ventas Mensuales'!F27*95</f>
        <v>79705</v>
      </c>
      <c r="G27" s="14">
        <f>'Ventas Mensuales'!G27*12.3</f>
        <v>75854.100000000006</v>
      </c>
      <c r="H27" s="14">
        <f>'Ventas Mensuales'!H27*48</f>
        <v>59040</v>
      </c>
    </row>
    <row r="28" spans="1:8" x14ac:dyDescent="0.25">
      <c r="A28" s="9">
        <v>2021</v>
      </c>
      <c r="B28" s="9" t="s">
        <v>21</v>
      </c>
      <c r="C28" s="9">
        <v>12</v>
      </c>
      <c r="D28" s="14">
        <f>'Ventas Mensuales'!D28*4.8</f>
        <v>67243.199999999997</v>
      </c>
      <c r="E28" s="14">
        <f>'Ventas Mensuales'!E28*38.5</f>
        <v>143720.5</v>
      </c>
      <c r="F28" s="14">
        <f>'Ventas Mensuales'!F28*95</f>
        <v>85595</v>
      </c>
      <c r="G28" s="14">
        <f>'Ventas Mensuales'!G28*12.3</f>
        <v>85509.6</v>
      </c>
      <c r="H28" s="14">
        <f>'Ventas Mensuales'!H28*48</f>
        <v>54960</v>
      </c>
    </row>
    <row r="29" spans="1:8" x14ac:dyDescent="0.25">
      <c r="A29" s="7">
        <v>2022</v>
      </c>
      <c r="B29" s="7" t="s">
        <v>10</v>
      </c>
      <c r="C29" s="7">
        <v>1</v>
      </c>
      <c r="D29" s="13">
        <f>'Ventas Mensuales'!D29*4.8</f>
        <v>57571.199999999997</v>
      </c>
      <c r="E29" s="13">
        <f>'Ventas Mensuales'!E29*38.5</f>
        <v>130053</v>
      </c>
      <c r="F29" s="13">
        <f>'Ventas Mensuales'!F29*95</f>
        <v>76190</v>
      </c>
      <c r="G29" s="13">
        <f>'Ventas Mensuales'!G29*12.3</f>
        <v>73504.800000000003</v>
      </c>
      <c r="H29" s="13">
        <f>'Ventas Mensuales'!H29*48</f>
        <v>46608</v>
      </c>
    </row>
    <row r="30" spans="1:8" x14ac:dyDescent="0.25">
      <c r="A30" s="7">
        <v>2022</v>
      </c>
      <c r="B30" s="7" t="s">
        <v>11</v>
      </c>
      <c r="C30" s="7">
        <v>2</v>
      </c>
      <c r="D30" s="13">
        <f>'Ventas Mensuales'!D30*4.8</f>
        <v>51864</v>
      </c>
      <c r="E30" s="13">
        <f>'Ventas Mensuales'!E30*38.5</f>
        <v>115230.5</v>
      </c>
      <c r="F30" s="13">
        <f>'Ventas Mensuales'!F30*95</f>
        <v>75240</v>
      </c>
      <c r="G30" s="13">
        <f>'Ventas Mensuales'!G30*12.3</f>
        <v>74931.600000000006</v>
      </c>
      <c r="H30" s="13">
        <f>'Ventas Mensuales'!H30*48</f>
        <v>51504</v>
      </c>
    </row>
    <row r="31" spans="1:8" x14ac:dyDescent="0.25">
      <c r="A31" s="7">
        <v>2022</v>
      </c>
      <c r="B31" s="7" t="s">
        <v>12</v>
      </c>
      <c r="C31" s="7">
        <v>3</v>
      </c>
      <c r="D31" s="13">
        <f>'Ventas Mensuales'!D31*4.8</f>
        <v>57806.400000000001</v>
      </c>
      <c r="E31" s="13">
        <f>'Ventas Mensuales'!E31*38.5</f>
        <v>129668</v>
      </c>
      <c r="F31" s="13">
        <f>'Ventas Mensuales'!F31*95</f>
        <v>83505</v>
      </c>
      <c r="G31" s="13">
        <f>'Ventas Mensuales'!G31*12.3</f>
        <v>84611.700000000012</v>
      </c>
      <c r="H31" s="13">
        <f>'Ventas Mensuales'!H31*48</f>
        <v>51072</v>
      </c>
    </row>
    <row r="32" spans="1:8" x14ac:dyDescent="0.25">
      <c r="A32" s="7">
        <v>2022</v>
      </c>
      <c r="B32" s="7" t="s">
        <v>13</v>
      </c>
      <c r="C32" s="7">
        <v>4</v>
      </c>
      <c r="D32" s="13">
        <f>'Ventas Mensuales'!D32*4.8</f>
        <v>61392</v>
      </c>
      <c r="E32" s="13">
        <f>'Ventas Mensuales'!E32*38.5</f>
        <v>134018.5</v>
      </c>
      <c r="F32" s="13">
        <f>'Ventas Mensuales'!F32*95</f>
        <v>84550</v>
      </c>
      <c r="G32" s="13">
        <f>'Ventas Mensuales'!G32*12.3</f>
        <v>84931.5</v>
      </c>
      <c r="H32" s="13">
        <f>'Ventas Mensuales'!H32*48</f>
        <v>53040</v>
      </c>
    </row>
    <row r="33" spans="1:8" x14ac:dyDescent="0.25">
      <c r="A33" s="7">
        <v>2022</v>
      </c>
      <c r="B33" s="7" t="s">
        <v>14</v>
      </c>
      <c r="C33" s="7">
        <v>5</v>
      </c>
      <c r="D33" s="13">
        <f>'Ventas Mensuales'!D33*4.8</f>
        <v>63787.199999999997</v>
      </c>
      <c r="E33" s="13">
        <f>'Ventas Mensuales'!E33*38.5</f>
        <v>150997</v>
      </c>
      <c r="F33" s="13">
        <f>'Ventas Mensuales'!F33*95</f>
        <v>81320</v>
      </c>
      <c r="G33" s="13">
        <f>'Ventas Mensuales'!G33*12.3</f>
        <v>89839.200000000012</v>
      </c>
      <c r="H33" s="13">
        <f>'Ventas Mensuales'!H33*48</f>
        <v>57984</v>
      </c>
    </row>
    <row r="34" spans="1:8" x14ac:dyDescent="0.25">
      <c r="A34" s="7">
        <v>2022</v>
      </c>
      <c r="B34" s="7" t="s">
        <v>15</v>
      </c>
      <c r="C34" s="7">
        <v>6</v>
      </c>
      <c r="D34" s="13">
        <f>'Ventas Mensuales'!D34*4.8</f>
        <v>62884.799999999996</v>
      </c>
      <c r="E34" s="13">
        <f>'Ventas Mensuales'!E34*38.5</f>
        <v>155193.5</v>
      </c>
      <c r="F34" s="13">
        <f>'Ventas Mensuales'!F34*95</f>
        <v>90155</v>
      </c>
      <c r="G34" s="13">
        <f>'Ventas Mensuales'!G34*12.3</f>
        <v>83111.100000000006</v>
      </c>
      <c r="H34" s="13">
        <f>'Ventas Mensuales'!H34*48</f>
        <v>58608</v>
      </c>
    </row>
    <row r="35" spans="1:8" x14ac:dyDescent="0.25">
      <c r="A35" s="7">
        <v>2022</v>
      </c>
      <c r="B35" s="7" t="s">
        <v>16</v>
      </c>
      <c r="C35" s="7">
        <v>7</v>
      </c>
      <c r="D35" s="13">
        <f>'Ventas Mensuales'!D35*4.8</f>
        <v>73180.800000000003</v>
      </c>
      <c r="E35" s="13">
        <f>'Ventas Mensuales'!E35*38.5</f>
        <v>162431.5</v>
      </c>
      <c r="F35" s="13">
        <f>'Ventas Mensuales'!F35*95</f>
        <v>88540</v>
      </c>
      <c r="G35" s="13">
        <f>'Ventas Mensuales'!G35*12.3</f>
        <v>90023.700000000012</v>
      </c>
      <c r="H35" s="13">
        <f>'Ventas Mensuales'!H35*48</f>
        <v>58368</v>
      </c>
    </row>
    <row r="36" spans="1:8" x14ac:dyDescent="0.25">
      <c r="A36" s="7">
        <v>2022</v>
      </c>
      <c r="B36" s="7" t="s">
        <v>17</v>
      </c>
      <c r="C36" s="7">
        <v>8</v>
      </c>
      <c r="D36" s="13">
        <f>'Ventas Mensuales'!D36*4.8</f>
        <v>66019.199999999997</v>
      </c>
      <c r="E36" s="13">
        <f>'Ventas Mensuales'!E36*38.5</f>
        <v>157388</v>
      </c>
      <c r="F36" s="13">
        <f>'Ventas Mensuales'!F36*95</f>
        <v>92435</v>
      </c>
      <c r="G36" s="13">
        <f>'Ventas Mensuales'!G36*12.3</f>
        <v>87489.900000000009</v>
      </c>
      <c r="H36" s="13">
        <f>'Ventas Mensuales'!H36*48</f>
        <v>60480</v>
      </c>
    </row>
    <row r="37" spans="1:8" x14ac:dyDescent="0.25">
      <c r="A37" s="7">
        <v>2022</v>
      </c>
      <c r="B37" s="7" t="s">
        <v>18</v>
      </c>
      <c r="C37" s="7">
        <v>9</v>
      </c>
      <c r="D37" s="13">
        <f>'Ventas Mensuales'!D37*4.8</f>
        <v>61982.399999999994</v>
      </c>
      <c r="E37" s="13">
        <f>'Ventas Mensuales'!E37*38.5</f>
        <v>158966.5</v>
      </c>
      <c r="F37" s="13">
        <f>'Ventas Mensuales'!F37*95</f>
        <v>83980</v>
      </c>
      <c r="G37" s="13">
        <f>'Ventas Mensuales'!G37*12.3</f>
        <v>93824.400000000009</v>
      </c>
      <c r="H37" s="13">
        <f>'Ventas Mensuales'!H37*48</f>
        <v>64512</v>
      </c>
    </row>
    <row r="38" spans="1:8" x14ac:dyDescent="0.25">
      <c r="A38" s="7">
        <v>2022</v>
      </c>
      <c r="B38" s="7" t="s">
        <v>19</v>
      </c>
      <c r="C38" s="7">
        <v>10</v>
      </c>
      <c r="D38" s="13">
        <f>'Ventas Mensuales'!D38*4.8</f>
        <v>59644.799999999996</v>
      </c>
      <c r="E38" s="13">
        <f>'Ventas Mensuales'!E38*38.5</f>
        <v>143528</v>
      </c>
      <c r="F38" s="13">
        <f>'Ventas Mensuales'!F38*95</f>
        <v>86735</v>
      </c>
      <c r="G38" s="13">
        <f>'Ventas Mensuales'!G38*12.3</f>
        <v>80909.400000000009</v>
      </c>
      <c r="H38" s="13">
        <f>'Ventas Mensuales'!H38*48</f>
        <v>55248</v>
      </c>
    </row>
    <row r="39" spans="1:8" x14ac:dyDescent="0.25">
      <c r="A39" s="7">
        <v>2022</v>
      </c>
      <c r="B39" s="7" t="s">
        <v>20</v>
      </c>
      <c r="C39" s="7">
        <v>11</v>
      </c>
      <c r="D39" s="13">
        <f>'Ventas Mensuales'!D39*4.8</f>
        <v>65817.599999999991</v>
      </c>
      <c r="E39" s="13">
        <f>'Ventas Mensuales'!E39*38.5</f>
        <v>145568.5</v>
      </c>
      <c r="F39" s="13">
        <f>'Ventas Mensuales'!F39*95</f>
        <v>80845</v>
      </c>
      <c r="G39" s="13">
        <f>'Ventas Mensuales'!G39*12.3</f>
        <v>85165.200000000012</v>
      </c>
      <c r="H39" s="13">
        <f>'Ventas Mensuales'!H39*48</f>
        <v>59184</v>
      </c>
    </row>
    <row r="40" spans="1:8" x14ac:dyDescent="0.25">
      <c r="A40" s="7">
        <v>2022</v>
      </c>
      <c r="B40" s="7" t="s">
        <v>21</v>
      </c>
      <c r="C40" s="7">
        <v>12</v>
      </c>
      <c r="D40" s="13">
        <f>'Ventas Mensuales'!D40*4.8</f>
        <v>61464</v>
      </c>
      <c r="E40" s="13">
        <f>'Ventas Mensuales'!E40*38.5</f>
        <v>141526</v>
      </c>
      <c r="F40" s="13">
        <f>'Ventas Mensuales'!F40*95</f>
        <v>84360</v>
      </c>
      <c r="G40" s="13">
        <f>'Ventas Mensuales'!G40*12.3</f>
        <v>84574.8</v>
      </c>
      <c r="H40" s="13">
        <f>'Ventas Mensuales'!H40*48</f>
        <v>58944</v>
      </c>
    </row>
    <row r="41" spans="1:8" x14ac:dyDescent="0.25">
      <c r="A41" s="9">
        <v>2023</v>
      </c>
      <c r="B41" s="9" t="s">
        <v>10</v>
      </c>
      <c r="C41" s="9">
        <v>1</v>
      </c>
      <c r="D41" s="14">
        <f>'Ventas Mensuales'!D41*4.8</f>
        <v>58324.799999999996</v>
      </c>
      <c r="E41" s="14">
        <f>'Ventas Mensuales'!E41*38.5</f>
        <v>135289</v>
      </c>
      <c r="F41" s="14">
        <f>'Ventas Mensuales'!F41*95</f>
        <v>79990</v>
      </c>
      <c r="G41" s="14">
        <f>'Ventas Mensuales'!G41*12.3</f>
        <v>69704.100000000006</v>
      </c>
      <c r="H41" s="14">
        <f>'Ventas Mensuales'!H41*48</f>
        <v>50784</v>
      </c>
    </row>
    <row r="42" spans="1:8" x14ac:dyDescent="0.25">
      <c r="A42" s="9">
        <v>2023</v>
      </c>
      <c r="B42" s="9" t="s">
        <v>11</v>
      </c>
      <c r="C42" s="9">
        <v>2</v>
      </c>
      <c r="D42" s="14">
        <f>'Ventas Mensuales'!D42*4.8</f>
        <v>52948.799999999996</v>
      </c>
      <c r="E42" s="14">
        <f>'Ventas Mensuales'!E42*38.5</f>
        <v>134480.5</v>
      </c>
      <c r="F42" s="14">
        <f>'Ventas Mensuales'!F42*95</f>
        <v>68780</v>
      </c>
      <c r="G42" s="14">
        <f>'Ventas Mensuales'!G42*12.3</f>
        <v>68388</v>
      </c>
      <c r="H42" s="14">
        <f>'Ventas Mensuales'!H42*48</f>
        <v>49392</v>
      </c>
    </row>
    <row r="43" spans="1:8" x14ac:dyDescent="0.25">
      <c r="A43" s="9">
        <v>2023</v>
      </c>
      <c r="B43" s="9" t="s">
        <v>12</v>
      </c>
      <c r="C43" s="9">
        <v>3</v>
      </c>
      <c r="D43" s="14">
        <f>'Ventas Mensuales'!D43*4.8</f>
        <v>59980.799999999996</v>
      </c>
      <c r="E43" s="14">
        <f>'Ventas Mensuales'!E43*38.5</f>
        <v>137060</v>
      </c>
      <c r="F43" s="14">
        <f>'Ventas Mensuales'!F43*95</f>
        <v>76950</v>
      </c>
      <c r="G43" s="14">
        <f>'Ventas Mensuales'!G43*12.3</f>
        <v>85866.3</v>
      </c>
      <c r="H43" s="14">
        <f>'Ventas Mensuales'!H43*48</f>
        <v>55152</v>
      </c>
    </row>
    <row r="44" spans="1:8" x14ac:dyDescent="0.25">
      <c r="A44" s="9">
        <v>2023</v>
      </c>
      <c r="B44" s="9" t="s">
        <v>13</v>
      </c>
      <c r="C44" s="9">
        <v>4</v>
      </c>
      <c r="D44" s="14">
        <f>'Ventas Mensuales'!D44*4.8</f>
        <v>66278.399999999994</v>
      </c>
      <c r="E44" s="14">
        <f>'Ventas Mensuales'!E44*38.5</f>
        <v>147763</v>
      </c>
      <c r="F44" s="14">
        <f>'Ventas Mensuales'!F44*95</f>
        <v>76760</v>
      </c>
      <c r="G44" s="14">
        <f>'Ventas Mensuales'!G44*12.3</f>
        <v>89580.900000000009</v>
      </c>
      <c r="H44" s="14">
        <f>'Ventas Mensuales'!H44*48</f>
        <v>60528</v>
      </c>
    </row>
    <row r="45" spans="1:8" x14ac:dyDescent="0.25">
      <c r="A45" s="9">
        <v>2023</v>
      </c>
      <c r="B45" s="9" t="s">
        <v>14</v>
      </c>
      <c r="C45" s="9">
        <v>5</v>
      </c>
      <c r="D45" s="14">
        <f>'Ventas Mensuales'!D45*4.8</f>
        <v>70108.800000000003</v>
      </c>
      <c r="E45" s="14">
        <f>'Ventas Mensuales'!E45*38.5</f>
        <v>162970.5</v>
      </c>
      <c r="F45" s="14">
        <f>'Ventas Mensuales'!F45*95</f>
        <v>90820</v>
      </c>
      <c r="G45" s="14">
        <f>'Ventas Mensuales'!G45*12.3</f>
        <v>81733.5</v>
      </c>
      <c r="H45" s="14">
        <f>'Ventas Mensuales'!H45*48</f>
        <v>59664</v>
      </c>
    </row>
    <row r="46" spans="1:8" x14ac:dyDescent="0.25">
      <c r="A46" s="9">
        <v>2023</v>
      </c>
      <c r="B46" s="9" t="s">
        <v>15</v>
      </c>
      <c r="C46" s="9">
        <v>6</v>
      </c>
      <c r="D46" s="14">
        <f>'Ventas Mensuales'!D46*4.8</f>
        <v>64056</v>
      </c>
      <c r="E46" s="14">
        <f>'Ventas Mensuales'!E46*38.5</f>
        <v>154577.5</v>
      </c>
      <c r="F46" s="14">
        <f>'Ventas Mensuales'!F46*95</f>
        <v>82365</v>
      </c>
      <c r="G46" s="14">
        <f>'Ventas Mensuales'!G46*12.3</f>
        <v>87157.8</v>
      </c>
      <c r="H46" s="14">
        <f>'Ventas Mensuales'!H46*48</f>
        <v>66336</v>
      </c>
    </row>
    <row r="47" spans="1:8" x14ac:dyDescent="0.25">
      <c r="A47" s="9">
        <v>2023</v>
      </c>
      <c r="B47" s="9" t="s">
        <v>16</v>
      </c>
      <c r="C47" s="9">
        <v>7</v>
      </c>
      <c r="D47" s="14">
        <f>'Ventas Mensuales'!D47*4.8</f>
        <v>66456</v>
      </c>
      <c r="E47" s="14">
        <f>'Ventas Mensuales'!E47*38.5</f>
        <v>168899.5</v>
      </c>
      <c r="F47" s="14">
        <f>'Ventas Mensuales'!F47*95</f>
        <v>90440</v>
      </c>
      <c r="G47" s="14">
        <f>'Ventas Mensuales'!G47*12.3</f>
        <v>90294.3</v>
      </c>
      <c r="H47" s="14">
        <f>'Ventas Mensuales'!H47*48</f>
        <v>67920</v>
      </c>
    </row>
    <row r="48" spans="1:8" x14ac:dyDescent="0.25">
      <c r="A48" s="9">
        <v>2023</v>
      </c>
      <c r="B48" s="9" t="s">
        <v>17</v>
      </c>
      <c r="C48" s="9">
        <v>8</v>
      </c>
      <c r="D48" s="14">
        <f>'Ventas Mensuales'!D48*4.8</f>
        <v>75902.399999999994</v>
      </c>
      <c r="E48" s="14">
        <f>'Ventas Mensuales'!E48*38.5</f>
        <v>166012</v>
      </c>
      <c r="F48" s="14">
        <f>'Ventas Mensuales'!F48*95</f>
        <v>96045</v>
      </c>
      <c r="G48" s="14">
        <f>'Ventas Mensuales'!G48*12.3</f>
        <v>87969.600000000006</v>
      </c>
      <c r="H48" s="14">
        <f>'Ventas Mensuales'!H48*48</f>
        <v>62352</v>
      </c>
    </row>
    <row r="49" spans="1:8" x14ac:dyDescent="0.25">
      <c r="A49" s="9">
        <v>2023</v>
      </c>
      <c r="B49" s="9" t="s">
        <v>18</v>
      </c>
      <c r="C49" s="9">
        <v>9</v>
      </c>
      <c r="D49" s="14">
        <f>'Ventas Mensuales'!D49*4.8</f>
        <v>72854.399999999994</v>
      </c>
      <c r="E49" s="14">
        <f>'Ventas Mensuales'!E49*38.5</f>
        <v>160545</v>
      </c>
      <c r="F49" s="14">
        <f>'Ventas Mensuales'!F49*95</f>
        <v>90060</v>
      </c>
      <c r="G49" s="14">
        <f>'Ventas Mensuales'!G49*12.3</f>
        <v>93283.200000000012</v>
      </c>
      <c r="H49" s="14">
        <f>'Ventas Mensuales'!H49*48</f>
        <v>57744</v>
      </c>
    </row>
    <row r="50" spans="1:8" x14ac:dyDescent="0.25">
      <c r="A50" s="9">
        <v>2023</v>
      </c>
      <c r="B50" s="9" t="s">
        <v>19</v>
      </c>
      <c r="C50" s="9">
        <v>10</v>
      </c>
      <c r="D50" s="14">
        <f>'Ventas Mensuales'!D50*4.8</f>
        <v>66091.199999999997</v>
      </c>
      <c r="E50" s="14">
        <f>'Ventas Mensuales'!E50*38.5</f>
        <v>152652.5</v>
      </c>
      <c r="F50" s="14">
        <f>'Ventas Mensuales'!F50*95</f>
        <v>90915</v>
      </c>
      <c r="G50" s="14">
        <f>'Ventas Mensuales'!G50*12.3</f>
        <v>81610.5</v>
      </c>
      <c r="H50" s="14">
        <f>'Ventas Mensuales'!H50*48</f>
        <v>64176</v>
      </c>
    </row>
    <row r="51" spans="1:8" x14ac:dyDescent="0.25">
      <c r="A51" s="9">
        <v>2023</v>
      </c>
      <c r="B51" s="9" t="s">
        <v>20</v>
      </c>
      <c r="C51" s="9">
        <v>11</v>
      </c>
      <c r="D51" s="14">
        <f>'Ventas Mensuales'!D51*4.8</f>
        <v>58449.599999999999</v>
      </c>
      <c r="E51" s="14">
        <f>'Ventas Mensuales'!E51*38.5</f>
        <v>139216</v>
      </c>
      <c r="F51" s="14">
        <f>'Ventas Mensuales'!F51*95</f>
        <v>83885</v>
      </c>
      <c r="G51" s="14">
        <f>'Ventas Mensuales'!G51*12.3</f>
        <v>85275.900000000009</v>
      </c>
      <c r="H51" s="14">
        <f>'Ventas Mensuales'!H51*48</f>
        <v>55008</v>
      </c>
    </row>
    <row r="52" spans="1:8" x14ac:dyDescent="0.25">
      <c r="A52" s="9">
        <v>2023</v>
      </c>
      <c r="B52" s="9" t="s">
        <v>21</v>
      </c>
      <c r="C52" s="9">
        <v>12</v>
      </c>
      <c r="D52" s="14">
        <f>'Ventas Mensuales'!D52*4.8</f>
        <v>61848</v>
      </c>
      <c r="E52" s="14">
        <f>'Ventas Mensuales'!E52*38.5</f>
        <v>163663.5</v>
      </c>
      <c r="F52" s="14">
        <f>'Ventas Mensuales'!F52*95</f>
        <v>83410</v>
      </c>
      <c r="G52" s="14">
        <f>'Ventas Mensuales'!G52*12.3</f>
        <v>88510.8</v>
      </c>
      <c r="H52" s="14">
        <f>'Ventas Mensuales'!H52*48</f>
        <v>61536</v>
      </c>
    </row>
    <row r="53" spans="1:8" x14ac:dyDescent="0.25">
      <c r="A53" s="7">
        <v>2024</v>
      </c>
      <c r="B53" s="7" t="s">
        <v>10</v>
      </c>
      <c r="C53" s="7">
        <v>1</v>
      </c>
      <c r="D53" s="13">
        <f>'Ventas Mensuales'!D53*4.8</f>
        <v>54033.599999999999</v>
      </c>
      <c r="E53" s="13">
        <f>'Ventas Mensuales'!E53*38.5</f>
        <v>129783.5</v>
      </c>
      <c r="F53" s="13">
        <f>'Ventas Mensuales'!F53*95</f>
        <v>72485</v>
      </c>
      <c r="G53" s="13">
        <f>'Ventas Mensuales'!G53*12.3</f>
        <v>77514.600000000006</v>
      </c>
      <c r="H53" s="13">
        <f>'Ventas Mensuales'!H53*48</f>
        <v>47808</v>
      </c>
    </row>
    <row r="54" spans="1:8" x14ac:dyDescent="0.25">
      <c r="A54" s="7">
        <v>2024</v>
      </c>
      <c r="B54" s="7" t="s">
        <v>11</v>
      </c>
      <c r="C54" s="7">
        <v>2</v>
      </c>
      <c r="D54" s="13">
        <f>'Ventas Mensuales'!D54*4.8</f>
        <v>54705.599999999999</v>
      </c>
      <c r="E54" s="13">
        <f>'Ventas Mensuales'!E54*38.5</f>
        <v>118541.5</v>
      </c>
      <c r="F54" s="13">
        <f>'Ventas Mensuales'!F54*95</f>
        <v>68590</v>
      </c>
      <c r="G54" s="13">
        <f>'Ventas Mensuales'!G54*12.3</f>
        <v>71930.400000000009</v>
      </c>
      <c r="H54" s="13">
        <f>'Ventas Mensuales'!H54*48</f>
        <v>46896</v>
      </c>
    </row>
    <row r="55" spans="1:8" x14ac:dyDescent="0.25">
      <c r="A55" s="7">
        <v>2024</v>
      </c>
      <c r="B55" s="7" t="s">
        <v>12</v>
      </c>
      <c r="C55" s="7">
        <v>3</v>
      </c>
      <c r="D55" s="13">
        <f>'Ventas Mensuales'!D55*4.8</f>
        <v>57360</v>
      </c>
      <c r="E55" s="13">
        <f>'Ventas Mensuales'!E55*38.5</f>
        <v>143836</v>
      </c>
      <c r="F55" s="13">
        <f>'Ventas Mensuales'!F55*95</f>
        <v>72675</v>
      </c>
      <c r="G55" s="13">
        <f>'Ventas Mensuales'!G55*12.3</f>
        <v>77723.700000000012</v>
      </c>
      <c r="H55" s="13">
        <f>'Ventas Mensuales'!H55*48</f>
        <v>58512</v>
      </c>
    </row>
    <row r="56" spans="1:8" x14ac:dyDescent="0.25">
      <c r="A56" s="7">
        <v>2024</v>
      </c>
      <c r="B56" s="7" t="s">
        <v>13</v>
      </c>
      <c r="C56" s="7">
        <v>4</v>
      </c>
      <c r="D56" s="13">
        <f>'Ventas Mensuales'!D56*4.8</f>
        <v>65803.199999999997</v>
      </c>
      <c r="E56" s="13">
        <f>'Ventas Mensuales'!E56*38.5</f>
        <v>132863.5</v>
      </c>
      <c r="F56" s="13">
        <f>'Ventas Mensuales'!F56*95</f>
        <v>76760</v>
      </c>
      <c r="G56" s="13">
        <f>'Ventas Mensuales'!G56*12.3</f>
        <v>77686.8</v>
      </c>
      <c r="H56" s="13">
        <f>'Ventas Mensuales'!H56*48</f>
        <v>59760</v>
      </c>
    </row>
    <row r="57" spans="1:8" x14ac:dyDescent="0.25">
      <c r="A57" s="7">
        <v>2024</v>
      </c>
      <c r="B57" s="7" t="s">
        <v>14</v>
      </c>
      <c r="C57" s="7">
        <v>5</v>
      </c>
      <c r="D57" s="13">
        <f>'Ventas Mensuales'!D57*4.8</f>
        <v>67320</v>
      </c>
      <c r="E57" s="13">
        <f>'Ventas Mensuales'!E57*38.5</f>
        <v>157465</v>
      </c>
      <c r="F57" s="13">
        <f>'Ventas Mensuales'!F57*95</f>
        <v>81985</v>
      </c>
      <c r="G57" s="13">
        <f>'Ventas Mensuales'!G57*12.3</f>
        <v>79408.800000000003</v>
      </c>
      <c r="H57" s="13">
        <f>'Ventas Mensuales'!H57*48</f>
        <v>61248</v>
      </c>
    </row>
    <row r="58" spans="1:8" x14ac:dyDescent="0.25">
      <c r="A58" s="7">
        <v>2024</v>
      </c>
      <c r="B58" s="7" t="s">
        <v>15</v>
      </c>
      <c r="C58" s="7">
        <v>6</v>
      </c>
      <c r="D58" s="13">
        <f>'Ventas Mensuales'!D58*4.8</f>
        <v>67444.800000000003</v>
      </c>
      <c r="E58" s="13">
        <f>'Ventas Mensuales'!E58*38.5</f>
        <v>155540</v>
      </c>
      <c r="F58" s="13">
        <f>'Ventas Mensuales'!F58*95</f>
        <v>92910</v>
      </c>
      <c r="G58" s="13">
        <f>'Ventas Mensuales'!G58*12.3</f>
        <v>88609.200000000012</v>
      </c>
      <c r="H58" s="13">
        <f>'Ventas Mensuales'!H58*48</f>
        <v>55152</v>
      </c>
    </row>
    <row r="59" spans="1:8" x14ac:dyDescent="0.25">
      <c r="A59" s="7">
        <v>2024</v>
      </c>
      <c r="B59" s="7" t="s">
        <v>16</v>
      </c>
      <c r="C59" s="7">
        <v>7</v>
      </c>
      <c r="D59" s="13">
        <f>'Ventas Mensuales'!D59*4.8</f>
        <v>70593.599999999991</v>
      </c>
      <c r="E59" s="13">
        <f>'Ventas Mensuales'!E59*38.5</f>
        <v>152113.5</v>
      </c>
      <c r="F59" s="13">
        <f>'Ventas Mensuales'!F59*95</f>
        <v>91010</v>
      </c>
      <c r="G59" s="13">
        <f>'Ventas Mensuales'!G59*12.3</f>
        <v>95202</v>
      </c>
      <c r="H59" s="13">
        <f>'Ventas Mensuales'!H59*48</f>
        <v>57984</v>
      </c>
    </row>
    <row r="60" spans="1:8" x14ac:dyDescent="0.25">
      <c r="A60" s="7">
        <v>2024</v>
      </c>
      <c r="B60" s="7" t="s">
        <v>17</v>
      </c>
      <c r="C60" s="7">
        <v>8</v>
      </c>
      <c r="D60" s="13">
        <f>'Ventas Mensuales'!D60*4.8</f>
        <v>64219.199999999997</v>
      </c>
      <c r="E60" s="13">
        <f>'Ventas Mensuales'!E60*38.5</f>
        <v>150034.5</v>
      </c>
      <c r="F60" s="13">
        <f>'Ventas Mensuales'!F60*95</f>
        <v>91010</v>
      </c>
      <c r="G60" s="13">
        <f>'Ventas Mensuales'!G60*12.3</f>
        <v>87293.1</v>
      </c>
      <c r="H60" s="13">
        <f>'Ventas Mensuales'!H60*48</f>
        <v>63792</v>
      </c>
    </row>
    <row r="61" spans="1:8" x14ac:dyDescent="0.25">
      <c r="A61" s="7">
        <v>2024</v>
      </c>
      <c r="B61" s="7" t="s">
        <v>18</v>
      </c>
      <c r="C61" s="7">
        <v>9</v>
      </c>
      <c r="D61" s="13">
        <f>'Ventas Mensuales'!D61*4.8</f>
        <v>68236.800000000003</v>
      </c>
      <c r="E61" s="13">
        <f>'Ventas Mensuales'!E61*38.5</f>
        <v>146954.5</v>
      </c>
      <c r="F61" s="13">
        <f>'Ventas Mensuales'!F61*95</f>
        <v>88920</v>
      </c>
      <c r="G61" s="13">
        <f>'Ventas Mensuales'!G61*12.3</f>
        <v>84009</v>
      </c>
      <c r="H61" s="13">
        <f>'Ventas Mensuales'!H61*48</f>
        <v>60336</v>
      </c>
    </row>
    <row r="62" spans="1:8" x14ac:dyDescent="0.25">
      <c r="A62" s="7">
        <v>2024</v>
      </c>
      <c r="B62" s="7" t="s">
        <v>19</v>
      </c>
      <c r="C62" s="7">
        <v>10</v>
      </c>
      <c r="D62" s="13">
        <f>'Ventas Mensuales'!D62*4.8</f>
        <v>67569.599999999991</v>
      </c>
      <c r="E62" s="13">
        <f>'Ventas Mensuales'!E62*38.5</f>
        <v>156656.5</v>
      </c>
      <c r="F62" s="13">
        <f>'Ventas Mensuales'!F62*95</f>
        <v>78280</v>
      </c>
      <c r="G62" s="13">
        <f>'Ventas Mensuales'!G62*12.3</f>
        <v>82975.8</v>
      </c>
      <c r="H62" s="13">
        <f>'Ventas Mensuales'!H62*48</f>
        <v>56064</v>
      </c>
    </row>
    <row r="63" spans="1:8" x14ac:dyDescent="0.25">
      <c r="A63" s="7">
        <v>2024</v>
      </c>
      <c r="B63" s="7" t="s">
        <v>20</v>
      </c>
      <c r="C63" s="7">
        <v>11</v>
      </c>
      <c r="D63" s="13">
        <f>'Ventas Mensuales'!D63*4.8</f>
        <v>56121.599999999999</v>
      </c>
      <c r="E63" s="13">
        <f>'Ventas Mensuales'!E63*38.5</f>
        <v>148802.5</v>
      </c>
      <c r="F63" s="13">
        <f>'Ventas Mensuales'!F63*95</f>
        <v>82175</v>
      </c>
      <c r="G63" s="13">
        <f>'Ventas Mensuales'!G63*12.3</f>
        <v>77637.600000000006</v>
      </c>
      <c r="H63" s="13">
        <f>'Ventas Mensuales'!H63*48</f>
        <v>58032</v>
      </c>
    </row>
    <row r="64" spans="1:8" x14ac:dyDescent="0.25">
      <c r="A64" s="7">
        <v>2024</v>
      </c>
      <c r="B64" s="7" t="s">
        <v>21</v>
      </c>
      <c r="C64" s="7">
        <v>12</v>
      </c>
      <c r="D64" s="13">
        <f>'Ventas Mensuales'!D64*4.8</f>
        <v>64603.199999999997</v>
      </c>
      <c r="E64" s="13">
        <f>'Ventas Mensuales'!E64*38.5</f>
        <v>148148</v>
      </c>
      <c r="F64" s="13">
        <f>'Ventas Mensuales'!F64*95</f>
        <v>77900</v>
      </c>
      <c r="G64" s="13">
        <f>'Ventas Mensuales'!G64*12.3</f>
        <v>79064.400000000009</v>
      </c>
      <c r="H64" s="13">
        <f>'Ventas Mensuales'!H64*48</f>
        <v>62352</v>
      </c>
    </row>
    <row r="65" spans="1:8" x14ac:dyDescent="0.25">
      <c r="A65" s="2" t="s">
        <v>22</v>
      </c>
      <c r="B65" s="2"/>
      <c r="C65" s="2"/>
      <c r="D65" s="15">
        <f>SUM(D5:D64)</f>
        <v>3709022.4</v>
      </c>
      <c r="E65" s="15">
        <f>SUM(E5:E64)</f>
        <v>8628697</v>
      </c>
      <c r="F65" s="15">
        <f>SUM(F5:F64)</f>
        <v>4867325</v>
      </c>
      <c r="G65" s="15">
        <f>SUM(G5:G64)</f>
        <v>4900627.5</v>
      </c>
      <c r="H65" s="15">
        <f>SUM(H5:H64)</f>
        <v>3377424</v>
      </c>
    </row>
  </sheetData>
  <mergeCells count="3">
    <mergeCell ref="A1:C1"/>
    <mergeCell ref="A2:C2"/>
    <mergeCell ref="A65:C6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zoomScaleNormal="100" workbookViewId="0">
      <selection sqref="A1:K1"/>
    </sheetView>
  </sheetViews>
  <sheetFormatPr baseColWidth="10" defaultColWidth="8.7109375" defaultRowHeight="15" x14ac:dyDescent="0.25"/>
  <cols>
    <col min="1" max="1" width="38" customWidth="1"/>
    <col min="2" max="11" width="14" customWidth="1"/>
    <col min="12" max="13" width="16" customWidth="1"/>
  </cols>
  <sheetData>
    <row r="1" spans="1:13" ht="27.75" customHeight="1" x14ac:dyDescent="0.2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3" x14ac:dyDescent="0.25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3" x14ac:dyDescent="0.25">
      <c r="A4" s="11" t="s">
        <v>32</v>
      </c>
      <c r="B4" s="16" t="s">
        <v>33</v>
      </c>
      <c r="C4" s="16" t="s">
        <v>34</v>
      </c>
      <c r="D4" s="16" t="s">
        <v>35</v>
      </c>
      <c r="E4" s="16" t="s">
        <v>36</v>
      </c>
      <c r="F4" s="16" t="s">
        <v>37</v>
      </c>
      <c r="G4" s="16" t="s">
        <v>38</v>
      </c>
      <c r="H4" s="16" t="s">
        <v>39</v>
      </c>
      <c r="I4" s="16" t="s">
        <v>40</v>
      </c>
      <c r="J4" s="16" t="s">
        <v>41</v>
      </c>
      <c r="K4" s="16" t="s">
        <v>42</v>
      </c>
      <c r="L4" s="17" t="s">
        <v>43</v>
      </c>
      <c r="M4" s="17" t="s">
        <v>44</v>
      </c>
    </row>
    <row r="5" spans="1:13" x14ac:dyDescent="0.25">
      <c r="A5" s="18" t="s">
        <v>45</v>
      </c>
      <c r="B5" s="8">
        <f>SUM('Ventas Mensuales'!D5:D16)</f>
        <v>144978</v>
      </c>
      <c r="C5" s="19">
        <f>SUM('Ingresos USD'!D5:D16)</f>
        <v>695894.4</v>
      </c>
      <c r="D5" s="8">
        <f>SUM('Ventas Mensuales'!D17:D28)</f>
        <v>153834</v>
      </c>
      <c r="E5" s="19">
        <f>SUM('Ingresos USD'!D17:D28)</f>
        <v>738403.19999999984</v>
      </c>
      <c r="F5" s="8">
        <f>SUM('Ventas Mensuales'!D29:D40)</f>
        <v>154878</v>
      </c>
      <c r="G5" s="19">
        <f>SUM('Ingresos USD'!D29:D40)</f>
        <v>743414.4</v>
      </c>
      <c r="H5" s="8">
        <f>SUM('Ventas Mensuales'!D41:D52)</f>
        <v>161104</v>
      </c>
      <c r="I5" s="19">
        <f>SUM('Ingresos USD'!D41:D52)</f>
        <v>773299.19999999995</v>
      </c>
      <c r="J5" s="8">
        <f>SUM('Ventas Mensuales'!D53:D64)</f>
        <v>157919</v>
      </c>
      <c r="K5" s="19">
        <f>SUM('Ingresos USD'!D53:D64)</f>
        <v>758011.2</v>
      </c>
      <c r="L5" s="20">
        <f t="shared" ref="L5:M9" si="0">B5+D5+F5+H5+J5</f>
        <v>772713</v>
      </c>
      <c r="M5" s="21">
        <f t="shared" si="0"/>
        <v>3709022.4000000004</v>
      </c>
    </row>
    <row r="6" spans="1:13" x14ac:dyDescent="0.25">
      <c r="A6" s="22" t="s">
        <v>46</v>
      </c>
      <c r="B6" s="10">
        <f>SUM('Ventas Mensuales'!E5:E16)</f>
        <v>41172</v>
      </c>
      <c r="C6" s="23">
        <f>SUM('Ingresos USD'!E5:E16)</f>
        <v>1585122</v>
      </c>
      <c r="D6" s="10">
        <f>SUM('Ventas Mensuales'!E17:E28)</f>
        <v>45588</v>
      </c>
      <c r="E6" s="23">
        <f>SUM('Ingresos USD'!E17:E28)</f>
        <v>1755138</v>
      </c>
      <c r="F6" s="10">
        <f>SUM('Ventas Mensuales'!E29:E40)</f>
        <v>44794</v>
      </c>
      <c r="G6" s="23">
        <f>SUM('Ingresos USD'!E29:E40)</f>
        <v>1724569</v>
      </c>
      <c r="H6" s="10">
        <f>SUM('Ventas Mensuales'!E41:E52)</f>
        <v>47354</v>
      </c>
      <c r="I6" s="23">
        <f>SUM('Ingresos USD'!E41:E52)</f>
        <v>1823129</v>
      </c>
      <c r="J6" s="10">
        <f>SUM('Ventas Mensuales'!E53:E64)</f>
        <v>45214</v>
      </c>
      <c r="K6" s="23">
        <f>SUM('Ingresos USD'!E53:E64)</f>
        <v>1740739</v>
      </c>
      <c r="L6" s="20">
        <f t="shared" si="0"/>
        <v>224122</v>
      </c>
      <c r="M6" s="21">
        <f t="shared" si="0"/>
        <v>8628697</v>
      </c>
    </row>
    <row r="7" spans="1:13" x14ac:dyDescent="0.25">
      <c r="A7" s="18" t="s">
        <v>47</v>
      </c>
      <c r="B7" s="8">
        <f>SUM('Ventas Mensuales'!F5:F16)</f>
        <v>9365</v>
      </c>
      <c r="C7" s="19">
        <f>SUM('Ingresos USD'!F5:F16)</f>
        <v>889675</v>
      </c>
      <c r="D7" s="8">
        <f>SUM('Ventas Mensuales'!F17:F28)</f>
        <v>10365</v>
      </c>
      <c r="E7" s="19">
        <f>SUM('Ingresos USD'!F17:F28)</f>
        <v>984675</v>
      </c>
      <c r="F7" s="8">
        <f>SUM('Ventas Mensuales'!F29:F40)</f>
        <v>10609</v>
      </c>
      <c r="G7" s="19">
        <f>SUM('Ingresos USD'!F29:F40)</f>
        <v>1007855</v>
      </c>
      <c r="H7" s="8">
        <f>SUM('Ventas Mensuales'!F41:F52)</f>
        <v>10636</v>
      </c>
      <c r="I7" s="19">
        <f>SUM('Ingresos USD'!F41:F52)</f>
        <v>1010420</v>
      </c>
      <c r="J7" s="8">
        <f>SUM('Ventas Mensuales'!F53:F64)</f>
        <v>10260</v>
      </c>
      <c r="K7" s="19">
        <f>SUM('Ingresos USD'!F53:F64)</f>
        <v>974700</v>
      </c>
      <c r="L7" s="20">
        <f t="shared" si="0"/>
        <v>51235</v>
      </c>
      <c r="M7" s="21">
        <f t="shared" si="0"/>
        <v>4867325</v>
      </c>
    </row>
    <row r="8" spans="1:13" x14ac:dyDescent="0.25">
      <c r="A8" s="22" t="s">
        <v>48</v>
      </c>
      <c r="B8" s="10">
        <f>SUM('Ventas Mensuales'!G5:G16)</f>
        <v>75020</v>
      </c>
      <c r="C8" s="23">
        <f>SUM('Ingresos USD'!G5:G16)</f>
        <v>922746.00000000012</v>
      </c>
      <c r="D8" s="10">
        <f>SUM('Ventas Mensuales'!G17:G28)</f>
        <v>79393</v>
      </c>
      <c r="E8" s="23">
        <f>SUM('Ingresos USD'!G17:G28)</f>
        <v>976533.9</v>
      </c>
      <c r="F8" s="10">
        <f>SUM('Ventas Mensuales'!G29:G40)</f>
        <v>82351</v>
      </c>
      <c r="G8" s="23">
        <f>SUM('Ingresos USD'!G29:G40)</f>
        <v>1012917.3000000003</v>
      </c>
      <c r="H8" s="10">
        <f>SUM('Ventas Mensuales'!G41:G52)</f>
        <v>82063</v>
      </c>
      <c r="I8" s="23">
        <f>SUM('Ingresos USD'!G41:G52)</f>
        <v>1009374.9</v>
      </c>
      <c r="J8" s="10">
        <f>SUM('Ventas Mensuales'!G53:G64)</f>
        <v>79598</v>
      </c>
      <c r="K8" s="23">
        <f>SUM('Ingresos USD'!G53:G64)</f>
        <v>979055.4</v>
      </c>
      <c r="L8" s="20">
        <f t="shared" si="0"/>
        <v>398425</v>
      </c>
      <c r="M8" s="21">
        <f t="shared" si="0"/>
        <v>4900627.5</v>
      </c>
    </row>
    <row r="9" spans="1:13" x14ac:dyDescent="0.25">
      <c r="A9" s="18" t="s">
        <v>49</v>
      </c>
      <c r="B9" s="8">
        <f>SUM('Ventas Mensuales'!H5:H16)</f>
        <v>13102</v>
      </c>
      <c r="C9" s="19">
        <f>SUM('Ingresos USD'!H5:H16)</f>
        <v>628896</v>
      </c>
      <c r="D9" s="8">
        <f>SUM('Ventas Mensuales'!H17:H28)</f>
        <v>14051</v>
      </c>
      <c r="E9" s="19">
        <f>SUM('Ingresos USD'!H17:H28)</f>
        <v>674448</v>
      </c>
      <c r="F9" s="8">
        <f>SUM('Ventas Mensuales'!H29:H40)</f>
        <v>14074</v>
      </c>
      <c r="G9" s="19">
        <f>SUM('Ingresos USD'!H29:H40)</f>
        <v>675552</v>
      </c>
      <c r="H9" s="8">
        <f>SUM('Ventas Mensuales'!H41:H52)</f>
        <v>14804</v>
      </c>
      <c r="I9" s="19">
        <f>SUM('Ingresos USD'!H41:H52)</f>
        <v>710592</v>
      </c>
      <c r="J9" s="8">
        <f>SUM('Ventas Mensuales'!H53:H64)</f>
        <v>14332</v>
      </c>
      <c r="K9" s="19">
        <f>SUM('Ingresos USD'!H53:H64)</f>
        <v>687936</v>
      </c>
      <c r="L9" s="20">
        <f t="shared" si="0"/>
        <v>70363</v>
      </c>
      <c r="M9" s="21">
        <f t="shared" si="0"/>
        <v>3377424</v>
      </c>
    </row>
    <row r="10" spans="1:13" x14ac:dyDescent="0.25">
      <c r="A10" s="11" t="s">
        <v>50</v>
      </c>
      <c r="B10" s="12">
        <f t="shared" ref="B10:M10" si="1">SUM(B5:B9)</f>
        <v>283637</v>
      </c>
      <c r="C10" s="24">
        <f t="shared" si="1"/>
        <v>4722333.4000000004</v>
      </c>
      <c r="D10" s="12">
        <f t="shared" si="1"/>
        <v>303231</v>
      </c>
      <c r="E10" s="24">
        <f t="shared" si="1"/>
        <v>5129198.0999999996</v>
      </c>
      <c r="F10" s="12">
        <f t="shared" si="1"/>
        <v>306706</v>
      </c>
      <c r="G10" s="24">
        <f t="shared" si="1"/>
        <v>5164307.7</v>
      </c>
      <c r="H10" s="12">
        <f t="shared" si="1"/>
        <v>315961</v>
      </c>
      <c r="I10" s="24">
        <f t="shared" si="1"/>
        <v>5326815.1000000006</v>
      </c>
      <c r="J10" s="12">
        <f t="shared" si="1"/>
        <v>307323</v>
      </c>
      <c r="K10" s="24">
        <f t="shared" si="1"/>
        <v>5140441.6000000006</v>
      </c>
      <c r="L10" s="12">
        <f t="shared" si="1"/>
        <v>1516858</v>
      </c>
      <c r="M10" s="24">
        <f t="shared" si="1"/>
        <v>25483095.899999999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12" customWidth="1"/>
    <col min="2" max="2" width="42" customWidth="1"/>
    <col min="3" max="3" width="14" customWidth="1"/>
    <col min="4" max="4" width="12" customWidth="1"/>
    <col min="5" max="5" width="20" customWidth="1"/>
    <col min="6" max="6" width="30" customWidth="1"/>
  </cols>
  <sheetData>
    <row r="1" spans="1:6" ht="24" customHeight="1" x14ac:dyDescent="0.25">
      <c r="A1" s="1" t="s">
        <v>51</v>
      </c>
      <c r="B1" s="1"/>
      <c r="C1" s="1"/>
      <c r="D1" s="1"/>
      <c r="E1" s="1"/>
      <c r="F1" s="1"/>
    </row>
    <row r="3" spans="1:6" x14ac:dyDescent="0.25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</row>
    <row r="4" spans="1:6" x14ac:dyDescent="0.25">
      <c r="A4" s="18" t="s">
        <v>58</v>
      </c>
      <c r="B4" s="18" t="s">
        <v>59</v>
      </c>
      <c r="C4" s="18" t="s">
        <v>60</v>
      </c>
      <c r="D4" s="18" t="s">
        <v>61</v>
      </c>
      <c r="E4" s="13">
        <v>4.8</v>
      </c>
      <c r="F4" s="18" t="s">
        <v>62</v>
      </c>
    </row>
    <row r="5" spans="1:6" x14ac:dyDescent="0.25">
      <c r="A5" s="22" t="s">
        <v>63</v>
      </c>
      <c r="B5" s="22" t="s">
        <v>64</v>
      </c>
      <c r="C5" s="22" t="s">
        <v>65</v>
      </c>
      <c r="D5" s="22" t="s">
        <v>66</v>
      </c>
      <c r="E5" s="14">
        <v>38.5</v>
      </c>
      <c r="F5" s="22" t="s">
        <v>67</v>
      </c>
    </row>
    <row r="6" spans="1:6" x14ac:dyDescent="0.25">
      <c r="A6" s="18" t="s">
        <v>68</v>
      </c>
      <c r="B6" s="18" t="s">
        <v>69</v>
      </c>
      <c r="C6" s="18" t="s">
        <v>60</v>
      </c>
      <c r="D6" s="18" t="s">
        <v>66</v>
      </c>
      <c r="E6" s="13">
        <v>95</v>
      </c>
      <c r="F6" s="18" t="s">
        <v>70</v>
      </c>
    </row>
    <row r="7" spans="1:6" x14ac:dyDescent="0.25">
      <c r="A7" s="22" t="s">
        <v>71</v>
      </c>
      <c r="B7" s="22" t="s">
        <v>72</v>
      </c>
      <c r="C7" s="22" t="s">
        <v>65</v>
      </c>
      <c r="D7" s="22" t="s">
        <v>73</v>
      </c>
      <c r="E7" s="14">
        <v>12.3</v>
      </c>
      <c r="F7" s="22" t="s">
        <v>74</v>
      </c>
    </row>
    <row r="8" spans="1:6" x14ac:dyDescent="0.25">
      <c r="A8" s="18" t="s">
        <v>75</v>
      </c>
      <c r="B8" s="18" t="s">
        <v>76</v>
      </c>
      <c r="C8" s="18" t="s">
        <v>65</v>
      </c>
      <c r="D8" s="18" t="s">
        <v>77</v>
      </c>
      <c r="E8" s="13">
        <v>48</v>
      </c>
      <c r="F8" s="18" t="s">
        <v>78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 Mensuales</vt:lpstr>
      <vt:lpstr>Hoja1</vt:lpstr>
      <vt:lpstr>Ingresos USD</vt:lpstr>
      <vt:lpstr>Resumen Anual</vt:lpstr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Najera</cp:lastModifiedBy>
  <cp:revision>0</cp:revision>
  <dcterms:created xsi:type="dcterms:W3CDTF">2026-07-01T13:21:57Z</dcterms:created>
  <dcterms:modified xsi:type="dcterms:W3CDTF">2026-07-02T14:32:56Z</dcterms:modified>
  <dc:language>en-US</dc:language>
</cp:coreProperties>
</file>