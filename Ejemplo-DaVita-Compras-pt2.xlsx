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O-SNAJERA\descargas\"/>
    </mc:Choice>
  </mc:AlternateContent>
  <xr:revisionPtr revIDLastSave="0" documentId="8_{AB54E42C-3CEE-4852-871E-CF4EEC8B4020}" xr6:coauthVersionLast="47" xr6:coauthVersionMax="47" xr10:uidLastSave="{00000000-0000-0000-0000-000000000000}"/>
  <bookViews>
    <workbookView xWindow="-28920" yWindow="-120" windowWidth="29040" windowHeight="15840" activeTab="2" xr2:uid="{076C7875-3647-4B12-B023-4D814138B2CC}"/>
  </bookViews>
  <sheets>
    <sheet name="Hoja1" sheetId="1" r:id="rId1"/>
    <sheet name="Hoja1 (2)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9" i="3" l="1" a="1"/>
  <c r="E3" i="2"/>
  <c r="H3" i="2" a="1"/>
  <c r="B19" i="3" s="1" a="1"/>
  <c r="H25" i="2"/>
  <c r="E26" i="2" s="1"/>
  <c r="H26" i="2" s="1"/>
  <c r="E27" i="2" s="1"/>
  <c r="E11" i="2"/>
  <c r="E8" i="2"/>
  <c r="E4" i="2"/>
  <c r="H13" i="1"/>
  <c r="F44" i="1"/>
  <c r="F43" i="1"/>
  <c r="F41" i="1"/>
  <c r="G28" i="1"/>
  <c r="G27" i="1"/>
  <c r="J30" i="1"/>
  <c r="J31" i="1"/>
  <c r="J29" i="1"/>
  <c r="J28" i="1"/>
  <c r="J27" i="1"/>
  <c r="E27" i="1"/>
  <c r="H26" i="1"/>
  <c r="E26" i="1"/>
  <c r="H25" i="1"/>
  <c r="E17" i="1"/>
  <c r="E15" i="1"/>
  <c r="E14" i="1"/>
  <c r="E11" i="1"/>
  <c r="E13" i="1" s="1"/>
  <c r="E8" i="1"/>
  <c r="E4" i="1"/>
  <c r="E3" i="1"/>
  <c r="B20" i="3" l="1" a="1"/>
  <c r="C20" i="3" s="1" a="1"/>
  <c r="H4" i="2"/>
  <c r="E13" i="2"/>
  <c r="E14" i="2" s="1"/>
  <c r="F41" i="2"/>
  <c r="F43" i="2" s="1"/>
  <c r="F44" i="2" s="1"/>
  <c r="H13" i="2"/>
  <c r="H27" i="1"/>
  <c r="E28" i="1" s="1"/>
  <c r="H28" i="1" s="1"/>
  <c r="E29" i="1" s="1"/>
  <c r="G29" i="1" s="1"/>
  <c r="E15" i="2" l="1"/>
  <c r="E17" i="2"/>
  <c r="H29" i="1"/>
  <c r="E30" i="1" s="1"/>
  <c r="G30" i="1" s="1"/>
  <c r="H30" i="1" s="1"/>
  <c r="E31" i="1" s="1"/>
  <c r="G31" i="1" s="1"/>
  <c r="J27" i="2" l="1"/>
  <c r="G27" i="2" s="1"/>
  <c r="H27" i="2" s="1"/>
  <c r="E28" i="2" s="1"/>
  <c r="J31" i="2"/>
  <c r="J28" i="2"/>
  <c r="J29" i="2"/>
  <c r="J30" i="2"/>
  <c r="H31" i="1"/>
  <c r="G28" i="2" l="1"/>
  <c r="H28" i="2" s="1"/>
  <c r="E29" i="2" s="1"/>
  <c r="G29" i="2" l="1"/>
  <c r="H29" i="2" s="1"/>
  <c r="E30" i="2" s="1"/>
  <c r="G30" i="2" l="1"/>
  <c r="H30" i="2" s="1"/>
  <c r="E31" i="2" s="1"/>
  <c r="G31" i="2" l="1"/>
  <c r="H3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#Ejemplo Uso inicial
x=xl(%P2%)
y=xl(%P3%)
x+y
</code>
    </pythonScript>
    <pythonScript>
      <code>from scipy.stats import norm
# ===== PARÁMETROS: ajusta estos rangos si tus datos cambian de posición =====
rango_demanda = xl(%P2%)                  # Histórico de demanda (mensual)
nivel_servicio = xl(%P3%)                     # Ej: 0.95 para 95%%
lead_time_prom = xl(%P4%)                     # Lead time promedio (en días)
R = 0.5                                       # Período de revisión (mismas unidades que lead time, en días)
# ===== CÁLCULOS =====
demanda = rango_demanda.iloc[:, 0]            # Columna de demanda como serie
sigma_d = float(demanda.std())                # Desviación estándar de la demanda (escalar)
mu_d    = float(demanda.mean())               # Demanda promedio (escalar)
z = float(norm.ppf(float(nivel_servicio)))    # Valor Z según el nivel de servicio
# Lead time ajustado: (lead time + R) convertido de días a meses
lead_time_ajustado_meses = (float(lead_time_prom) + R) / 30
# Fórmula reducida: Ss = Z * σd * sqrt(lead time ajustado en meses)
stock_seguridad = z * sigma_d * (lead_time_ajustado_meses ** 0.5)
round(stock_seguridad, 2)</code>
    </pythonScript>
    <pythonScript>
      <code>from scipy.stats import norm
# ===== PARÁMETROS: ajusta estos rangos si tus datos cambian de posición =====
rango_demanda = xl(%P2%)                  # Histórico de demanda (mensual)
nivel_servicio = xl(%P3%)                     # Ej: 0.95 para 95%%
lead_time_prom = xl(%P4%)                     # Lead time promedio (en días)
R = 0.5                                       # Período de revisión (mismas unidades que lead time, en días)
# ===== CÁLCULOS =====
demanda = rango_demanda.iloc[:, 0]            # Columna de demanda como serie
sigma_d = float(demanda.std())                # Desviación estándar de la demanda (escalar)
mu_d    = float(demanda.mean())               # Demanda promedio (escalar)
z = float(norm.ppf(float(nivel_servicio)))    # Valor Z según el nivel de servicio
# Lead time ajustado: (lead time + R) convertido de días a meses
lead_time_ajustado_meses = (float(lead_time_prom) + R) / 30
# Fórmula reducida: Ss = Z * σd * sqrt(lead time ajustado en meses) -&gt; resultado en unidades/mes
stock_seguridad_unidades = z * sigma_d * (lead_time_ajustado_meses ** 0.5)
# Conversión a días: (Ss en unidades / demanda promedio mensual) * 30
stock_seguridad_dias = (stock_seguridad_unidades / mu_d) * 30
round(stock_seguridad_dias, 2)</code>
    </pythonScript>
  </pythonScripts>
</python>
</file>

<file path=xl/sharedStrings.xml><?xml version="1.0" encoding="utf-8"?>
<sst xmlns="http://schemas.openxmlformats.org/spreadsheetml/2006/main" count="104" uniqueCount="48">
  <si>
    <t>Promedio</t>
  </si>
  <si>
    <t>Desv. STd</t>
  </si>
  <si>
    <t>Nivel de Serv</t>
  </si>
  <si>
    <t>Factor N.Ser</t>
  </si>
  <si>
    <t>=DISTR.NORM.ESTAND.INV(E6)</t>
  </si>
  <si>
    <t>Lead Time</t>
  </si>
  <si>
    <t>días</t>
  </si>
  <si>
    <t>meses</t>
  </si>
  <si>
    <t>Stock Seg</t>
  </si>
  <si>
    <t>=+E8*E4*RAIZ(E11)</t>
  </si>
  <si>
    <t>=(E10+0,5)/30</t>
  </si>
  <si>
    <t>S.Seg días</t>
  </si>
  <si>
    <t>Techo días</t>
  </si>
  <si>
    <t>Optimo</t>
  </si>
  <si>
    <t>=+E14+E10/2</t>
  </si>
  <si>
    <t>S.Final = S.Inicial - Consumo + Compra</t>
  </si>
  <si>
    <t>S.Final → Inventario Optimo</t>
  </si>
  <si>
    <t>Inv. Optimo = S. Inicial - Consumo +Compra</t>
  </si>
  <si>
    <t>S. Inicial</t>
  </si>
  <si>
    <t>Consumo</t>
  </si>
  <si>
    <t>Compras</t>
  </si>
  <si>
    <t>S. Final</t>
  </si>
  <si>
    <t>Mes 1</t>
  </si>
  <si>
    <t>Mes 2</t>
  </si>
  <si>
    <t>Mes 3</t>
  </si>
  <si>
    <t>Mes 4</t>
  </si>
  <si>
    <t>Mes 5</t>
  </si>
  <si>
    <t>Mes 6</t>
  </si>
  <si>
    <t>Mes 7</t>
  </si>
  <si>
    <t>Inv. Opt</t>
  </si>
  <si>
    <t>In.Opt-S.Inicial + Consumo = Compra</t>
  </si>
  <si>
    <t>=REDONDEAR.MAS((J27-E27+F27)/100;0)*100</t>
  </si>
  <si>
    <t>=MAX(0;REDONDEAR.MAS((J29-E29+F29)/100;0)*100)</t>
  </si>
  <si>
    <t>Prod. Limp. Pisos</t>
  </si>
  <si>
    <t>Consumo día</t>
  </si>
  <si>
    <t>litros día</t>
  </si>
  <si>
    <t>Lt. pro</t>
  </si>
  <si>
    <t>desv Lt.</t>
  </si>
  <si>
    <t>N.Serv</t>
  </si>
  <si>
    <t>Facto N.Ser</t>
  </si>
  <si>
    <t>=+F37*F39*F41</t>
  </si>
  <si>
    <t>Stock Seg uni.</t>
  </si>
  <si>
    <t>Stock Seg. Días</t>
  </si>
  <si>
    <t>Desv. Lt</t>
  </si>
  <si>
    <t>=+E8*RAIZ((E11*E4^2)+(E12/30)^2*(E3^2))</t>
  </si>
  <si>
    <t>N. Servicio</t>
  </si>
  <si>
    <t>Stock Seg. =</t>
  </si>
  <si>
    <t>Stock Seg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</si>
</sst>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7" fontId="0" fillId="0" borderId="0" xfId="0" applyNumberFormat="1"/>
    <xf numFmtId="9" fontId="0" fillId="0" borderId="0" xfId="0" applyNumberFormat="1"/>
    <xf numFmtId="0" fontId="0" fillId="0" borderId="0" xfId="0" quotePrefix="1"/>
    <xf numFmtId="10" fontId="0" fillId="0" borderId="0" xfId="0" applyNumberFormat="1"/>
    <xf numFmtId="0" fontId="0" fillId="2" borderId="0" xfId="0" applyFill="1"/>
    <xf numFmtId="165" fontId="0" fillId="2" borderId="0" xfId="0" applyNumberFormat="1" applyFill="1"/>
    <xf numFmtId="0" fontId="0" fillId="2" borderId="0" xfId="0" quotePrefix="1" applyFill="1"/>
    <xf numFmtId="0" fontId="1" fillId="0" borderId="0" xfId="0" quotePrefix="1" applyFont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2" fontId="0" fillId="0" borderId="0" xfId="0" applyNumberFormat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SupportingPropertyBag" Target="richData/rdsupportingpropertybag.xml"/><Relationship Id="rId5" Type="http://schemas.openxmlformats.org/officeDocument/2006/relationships/styles" Target="styles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631031</xdr:colOff>
      <xdr:row>22</xdr:row>
      <xdr:rowOff>0</xdr:rowOff>
    </xdr:from>
    <xdr:to>
      <xdr:col>6</xdr:col>
      <xdr:colOff>95250</xdr:colOff>
      <xdr:row>26</xdr:row>
      <xdr:rowOff>51594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31CC0180-4C22-8B38-20D5-030CDCEA1E72}"/>
            </a:ext>
          </a:extLst>
        </xdr:cNvPr>
        <xdr:cNvCxnSpPr/>
      </xdr:nvCxnSpPr>
      <xdr:spPr>
        <a:xfrm>
          <a:off x="2917031" y="4191000"/>
          <a:ext cx="2575719" cy="81359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587374</xdr:colOff>
      <xdr:row>17</xdr:row>
      <xdr:rowOff>3969</xdr:rowOff>
    </xdr:from>
    <xdr:to>
      <xdr:col>8</xdr:col>
      <xdr:colOff>2176462</xdr:colOff>
      <xdr:row>25</xdr:row>
      <xdr:rowOff>13494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74FE044-EBB5-03CA-CCF9-4AAC79C54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1593" y="3242469"/>
          <a:ext cx="4085432" cy="1533525"/>
        </a:xfrm>
        <a:prstGeom prst="rect">
          <a:avLst/>
        </a:prstGeom>
        <a:solidFill>
          <a:srgbClr val="FFFF00"/>
        </a:solidFill>
      </xdr:spPr>
    </xdr:pic>
    <xdr:clientData/>
  </xdr:twoCellAnchor>
  <xdr:twoCellAnchor>
    <xdr:from>
      <xdr:col>3</xdr:col>
      <xdr:colOff>301625</xdr:colOff>
      <xdr:row>44</xdr:row>
      <xdr:rowOff>35717</xdr:rowOff>
    </xdr:from>
    <xdr:to>
      <xdr:col>8</xdr:col>
      <xdr:colOff>805656</xdr:colOff>
      <xdr:row>48</xdr:row>
      <xdr:rowOff>117602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3 Rectángulo">
              <a:extLst>
                <a:ext uri="{FF2B5EF4-FFF2-40B4-BE49-F238E27FC236}">
                  <a16:creationId xmlns:a16="http://schemas.microsoft.com/office/drawing/2014/main" id="{46C90B88-8044-4D8A-82D3-80DEFC53172D}"/>
                </a:ext>
              </a:extLst>
            </xdr:cNvPr>
            <xdr:cNvSpPr/>
          </xdr:nvSpPr>
          <xdr:spPr>
            <a:xfrm>
              <a:off x="1996281" y="8417717"/>
              <a:ext cx="4683125" cy="843885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algn="just"/>
              <a14:m>
                <m:oMathPara xmlns:m="http://schemas.openxmlformats.org/officeDocument/2006/math">
                  <m:oMath>
                    <m:r>
                      <a:rPr lang="en-US" sz="2400" b="0" i="1">
                        <a:ln>
                          <a:noFill/>
                        </a:ln>
                        <a:solidFill>
                          <a:schemeClr val="bg2">
                            <a:lumMod val="25000"/>
                          </a:schemeClr>
                        </a:solidFill>
                        <a:latin typeface="Cambria Math" panose="02040503050406030204" pitchFamily="18" charset="0"/>
                        <a:cs typeface="Times New Roman" panose="02020603050405020304" pitchFamily="18" charset="0"/>
                      </a:rPr>
                      <m:t>𝑆𝑠</m:t>
                    </m:r>
                    <m:r>
                      <a:rPr lang="es-AR" sz="2400" b="0" i="1">
                        <a:ln>
                          <a:noFill/>
                        </a:ln>
                        <a:solidFill>
                          <a:schemeClr val="bg2">
                            <a:lumMod val="25000"/>
                          </a:schemeClr>
                        </a:solidFill>
                        <a:latin typeface="Cambria Math" panose="02040503050406030204" pitchFamily="18" charset="0"/>
                        <a:cs typeface="Times New Roman" panose="02020603050405020304" pitchFamily="18" charset="0"/>
                      </a:rPr>
                      <m:t>=</m:t>
                    </m:r>
                    <m:sSub>
                      <m:sSubPr>
                        <m:ctrlP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𝑍</m:t>
                        </m:r>
                      </m:e>
                      <m:sub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𝛼</m:t>
                        </m:r>
                      </m:sub>
                    </m:sSub>
                    <m:rad>
                      <m:radPr>
                        <m:degHide m:val="on"/>
                        <m:ctrlPr>
                          <a:rPr lang="es-AR" sz="2400" i="1">
                            <a:ln>
                              <a:noFill/>
                            </a:ln>
                            <a:solidFill>
                              <a:schemeClr val="bg2">
                                <a:lumMod val="25000"/>
                              </a:schemeClr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radPr>
                      <m:deg/>
                      <m:e>
                        <m:d>
                          <m:d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𝐿</m:t>
                                </m:r>
                              </m:sub>
                            </m:s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+</m:t>
                            </m:r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𝑅</m:t>
                            </m:r>
                          </m:e>
                        </m:d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𝑑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chemeClr val="bg2">
                                <a:lumMod val="25000"/>
                              </a:schemeClr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+</m:t>
                        </m:r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𝐿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𝑑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</m:e>
                    </m:rad>
                  </m:oMath>
                </m:oMathPara>
              </a14:m>
              <a:endParaRPr lang="es-ES" sz="1050" i="1">
                <a:ln>
                  <a:noFill/>
                </a:ln>
                <a:solidFill>
                  <a:schemeClr val="bg2">
                    <a:lumMod val="25000"/>
                  </a:schemeClr>
                </a:solidFill>
                <a:cs typeface="Times New Roman" panose="02020603050405020304" pitchFamily="18" charset="0"/>
              </a:endParaRPr>
            </a:p>
          </xdr:txBody>
        </xdr:sp>
      </mc:Choice>
      <mc:Fallback>
        <xdr:sp macro="" textlink="">
          <xdr:nvSpPr>
            <xdr:cNvPr id="7" name="3 Rectángulo">
              <a:extLst>
                <a:ext uri="{FF2B5EF4-FFF2-40B4-BE49-F238E27FC236}">
                  <a16:creationId xmlns:a16="http://schemas.microsoft.com/office/drawing/2014/main" id="{46C90B88-8044-4D8A-82D3-80DEFC53172D}"/>
                </a:ext>
              </a:extLst>
            </xdr:cNvPr>
            <xdr:cNvSpPr/>
          </xdr:nvSpPr>
          <xdr:spPr>
            <a:xfrm>
              <a:off x="1996281" y="8417717"/>
              <a:ext cx="4683125" cy="843885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algn="just"/>
              <a:r>
                <a:rPr lang="en-US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𝑆𝑠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=</a:t>
              </a:r>
              <a:r>
                <a:rPr lang="es-AR" sz="2400" b="0" i="0">
                  <a:ln>
                    <a:noFill/>
                  </a:ln>
                  <a:solidFill>
                    <a:srgbClr val="002060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𝑍_𝛼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 </a:t>
              </a:r>
              <a:r>
                <a:rPr lang="es-AR" sz="240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√((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𝜇_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𝐿+𝑅)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 𝜎_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𝑑^2+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𝜎_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𝐿^2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 𝜇_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𝑑^2 )</a:t>
              </a:r>
              <a:endParaRPr lang="es-ES" sz="1050" i="1">
                <a:ln>
                  <a:noFill/>
                </a:ln>
                <a:solidFill>
                  <a:schemeClr val="bg2">
                    <a:lumMod val="25000"/>
                  </a:schemeClr>
                </a:solidFill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  <xdr:twoCellAnchor>
    <xdr:from>
      <xdr:col>6</xdr:col>
      <xdr:colOff>130969</xdr:colOff>
      <xdr:row>0</xdr:row>
      <xdr:rowOff>7938</xdr:rowOff>
    </xdr:from>
    <xdr:to>
      <xdr:col>9</xdr:col>
      <xdr:colOff>392906</xdr:colOff>
      <xdr:row>4</xdr:row>
      <xdr:rowOff>89823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3 Rectángulo">
              <a:extLst>
                <a:ext uri="{FF2B5EF4-FFF2-40B4-BE49-F238E27FC236}">
                  <a16:creationId xmlns:a16="http://schemas.microsoft.com/office/drawing/2014/main" id="{1A9F3407-64CA-4DF6-95C2-473F0777A5D9}"/>
                </a:ext>
              </a:extLst>
            </xdr:cNvPr>
            <xdr:cNvSpPr/>
          </xdr:nvSpPr>
          <xdr:spPr>
            <a:xfrm>
              <a:off x="4480719" y="7938"/>
              <a:ext cx="4683125" cy="843885"/>
            </a:xfrm>
            <a:prstGeom prst="rect">
              <a:avLst/>
            </a:prstGeom>
            <a:solidFill>
              <a:srgbClr val="FFC000"/>
            </a:solidFill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algn="just"/>
              <a14:m>
                <m:oMathPara xmlns:m="http://schemas.openxmlformats.org/officeDocument/2006/math">
                  <m:oMath>
                    <m:r>
                      <a:rPr lang="en-US" sz="2400" b="0" i="1">
                        <a:ln>
                          <a:noFill/>
                        </a:ln>
                        <a:solidFill>
                          <a:schemeClr val="bg2">
                            <a:lumMod val="25000"/>
                          </a:schemeClr>
                        </a:solidFill>
                        <a:latin typeface="Cambria Math" panose="02040503050406030204" pitchFamily="18" charset="0"/>
                        <a:cs typeface="Times New Roman" panose="02020603050405020304" pitchFamily="18" charset="0"/>
                      </a:rPr>
                      <m:t>𝑆𝑠</m:t>
                    </m:r>
                    <m:r>
                      <a:rPr lang="es-AR" sz="2400" b="0" i="1">
                        <a:ln>
                          <a:noFill/>
                        </a:ln>
                        <a:solidFill>
                          <a:schemeClr val="bg2">
                            <a:lumMod val="25000"/>
                          </a:schemeClr>
                        </a:solidFill>
                        <a:latin typeface="Cambria Math" panose="02040503050406030204" pitchFamily="18" charset="0"/>
                        <a:cs typeface="Times New Roman" panose="02020603050405020304" pitchFamily="18" charset="0"/>
                      </a:rPr>
                      <m:t>=</m:t>
                    </m:r>
                    <m:sSub>
                      <m:sSubPr>
                        <m:ctrlP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𝑍</m:t>
                        </m:r>
                      </m:e>
                      <m:sub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𝛼</m:t>
                        </m:r>
                      </m:sub>
                    </m:sSub>
                    <m:rad>
                      <m:radPr>
                        <m:degHide m:val="on"/>
                        <m:ctrlPr>
                          <a:rPr lang="es-AR" sz="2400" i="1">
                            <a:ln>
                              <a:noFill/>
                            </a:ln>
                            <a:solidFill>
                              <a:schemeClr val="bg2">
                                <a:lumMod val="25000"/>
                              </a:schemeClr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radPr>
                      <m:deg/>
                      <m:e>
                        <m:d>
                          <m:d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𝐿</m:t>
                                </m:r>
                              </m:sub>
                            </m:s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+</m:t>
                            </m:r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𝑅</m:t>
                            </m:r>
                          </m:e>
                        </m:d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𝑑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chemeClr val="bg2">
                                <a:lumMod val="25000"/>
                              </a:schemeClr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+</m:t>
                        </m:r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𝐿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𝑑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</m:e>
                    </m:rad>
                  </m:oMath>
                </m:oMathPara>
              </a14:m>
              <a:endParaRPr lang="es-ES" sz="1050" i="1">
                <a:ln>
                  <a:noFill/>
                </a:ln>
                <a:solidFill>
                  <a:schemeClr val="bg2">
                    <a:lumMod val="25000"/>
                  </a:schemeClr>
                </a:solidFill>
                <a:cs typeface="Times New Roman" panose="02020603050405020304" pitchFamily="18" charset="0"/>
              </a:endParaRPr>
            </a:p>
          </xdr:txBody>
        </xdr:sp>
      </mc:Choice>
      <mc:Fallback>
        <xdr:sp macro="" textlink="">
          <xdr:nvSpPr>
            <xdr:cNvPr id="8" name="3 Rectángulo">
              <a:extLst>
                <a:ext uri="{FF2B5EF4-FFF2-40B4-BE49-F238E27FC236}">
                  <a16:creationId xmlns:a16="http://schemas.microsoft.com/office/drawing/2014/main" id="{1A9F3407-64CA-4DF6-95C2-473F0777A5D9}"/>
                </a:ext>
              </a:extLst>
            </xdr:cNvPr>
            <xdr:cNvSpPr/>
          </xdr:nvSpPr>
          <xdr:spPr>
            <a:xfrm>
              <a:off x="4480719" y="7938"/>
              <a:ext cx="4683125" cy="843885"/>
            </a:xfrm>
            <a:prstGeom prst="rect">
              <a:avLst/>
            </a:prstGeom>
            <a:solidFill>
              <a:srgbClr val="FFC000"/>
            </a:solidFill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algn="just"/>
              <a:r>
                <a:rPr lang="en-US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𝑆𝑠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=</a:t>
              </a:r>
              <a:r>
                <a:rPr lang="es-AR" sz="2400" b="0" i="0">
                  <a:ln>
                    <a:noFill/>
                  </a:ln>
                  <a:solidFill>
                    <a:srgbClr val="002060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𝑍_𝛼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 </a:t>
              </a:r>
              <a:r>
                <a:rPr lang="es-AR" sz="240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√((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𝜇_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𝐿+𝑅)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 𝜎_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𝑑^2+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𝜎_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𝐿^2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 𝜇_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𝑑^2 )</a:t>
              </a:r>
              <a:endParaRPr lang="es-ES" sz="1050" i="1">
                <a:ln>
                  <a:noFill/>
                </a:ln>
                <a:solidFill>
                  <a:schemeClr val="bg2">
                    <a:lumMod val="25000"/>
                  </a:schemeClr>
                </a:solidFill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631031</xdr:colOff>
      <xdr:row>22</xdr:row>
      <xdr:rowOff>0</xdr:rowOff>
    </xdr:from>
    <xdr:to>
      <xdr:col>6</xdr:col>
      <xdr:colOff>95250</xdr:colOff>
      <xdr:row>26</xdr:row>
      <xdr:rowOff>51594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CD96E2C0-E502-4F2E-9836-988DA1F7BA5D}"/>
            </a:ext>
          </a:extLst>
        </xdr:cNvPr>
        <xdr:cNvCxnSpPr/>
      </xdr:nvCxnSpPr>
      <xdr:spPr>
        <a:xfrm>
          <a:off x="2326481" y="4191000"/>
          <a:ext cx="2121694" cy="81359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587374</xdr:colOff>
      <xdr:row>17</xdr:row>
      <xdr:rowOff>3969</xdr:rowOff>
    </xdr:from>
    <xdr:to>
      <xdr:col>8</xdr:col>
      <xdr:colOff>1966118</xdr:colOff>
      <xdr:row>25</xdr:row>
      <xdr:rowOff>13494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413C66-F8AB-4355-AA46-EE1FCABCE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749" y="3242469"/>
          <a:ext cx="4084638" cy="1533525"/>
        </a:xfrm>
        <a:prstGeom prst="rect">
          <a:avLst/>
        </a:prstGeom>
        <a:solidFill>
          <a:srgbClr val="FFFF00"/>
        </a:solidFill>
      </xdr:spPr>
    </xdr:pic>
    <xdr:clientData/>
  </xdr:twoCellAnchor>
  <xdr:twoCellAnchor>
    <xdr:from>
      <xdr:col>3</xdr:col>
      <xdr:colOff>301625</xdr:colOff>
      <xdr:row>44</xdr:row>
      <xdr:rowOff>35717</xdr:rowOff>
    </xdr:from>
    <xdr:to>
      <xdr:col>8</xdr:col>
      <xdr:colOff>805656</xdr:colOff>
      <xdr:row>48</xdr:row>
      <xdr:rowOff>117602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3 Rectángulo">
              <a:extLst>
                <a:ext uri="{FF2B5EF4-FFF2-40B4-BE49-F238E27FC236}">
                  <a16:creationId xmlns:a16="http://schemas.microsoft.com/office/drawing/2014/main" id="{99A2184F-3D8E-455D-893A-67FF490673B2}"/>
                </a:ext>
              </a:extLst>
            </xdr:cNvPr>
            <xdr:cNvSpPr/>
          </xdr:nvSpPr>
          <xdr:spPr>
            <a:xfrm>
              <a:off x="1997075" y="8417717"/>
              <a:ext cx="4685506" cy="843885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algn="just"/>
              <a14:m>
                <m:oMathPara xmlns:m="http://schemas.openxmlformats.org/officeDocument/2006/math">
                  <m:oMath>
                    <m:r>
                      <a:rPr lang="en-US" sz="2400" b="0" i="1">
                        <a:ln>
                          <a:noFill/>
                        </a:ln>
                        <a:solidFill>
                          <a:schemeClr val="bg2">
                            <a:lumMod val="25000"/>
                          </a:schemeClr>
                        </a:solidFill>
                        <a:latin typeface="Cambria Math" panose="02040503050406030204" pitchFamily="18" charset="0"/>
                        <a:cs typeface="Times New Roman" panose="02020603050405020304" pitchFamily="18" charset="0"/>
                      </a:rPr>
                      <m:t>𝑆𝑠</m:t>
                    </m:r>
                    <m:r>
                      <a:rPr lang="es-AR" sz="2400" b="0" i="1">
                        <a:ln>
                          <a:noFill/>
                        </a:ln>
                        <a:solidFill>
                          <a:schemeClr val="bg2">
                            <a:lumMod val="25000"/>
                          </a:schemeClr>
                        </a:solidFill>
                        <a:latin typeface="Cambria Math" panose="02040503050406030204" pitchFamily="18" charset="0"/>
                        <a:cs typeface="Times New Roman" panose="02020603050405020304" pitchFamily="18" charset="0"/>
                      </a:rPr>
                      <m:t>=</m:t>
                    </m:r>
                    <m:sSub>
                      <m:sSubPr>
                        <m:ctrlP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𝑍</m:t>
                        </m:r>
                      </m:e>
                      <m:sub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𝛼</m:t>
                        </m:r>
                      </m:sub>
                    </m:sSub>
                    <m:rad>
                      <m:radPr>
                        <m:degHide m:val="on"/>
                        <m:ctrlPr>
                          <a:rPr lang="es-AR" sz="2400" i="1">
                            <a:ln>
                              <a:noFill/>
                            </a:ln>
                            <a:solidFill>
                              <a:schemeClr val="bg2">
                                <a:lumMod val="25000"/>
                              </a:schemeClr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</m:ctrlPr>
                      </m:radPr>
                      <m:deg/>
                      <m:e>
                        <m:d>
                          <m:d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AR" sz="2400" b="0" i="1">
                                    <a:ln>
                                      <a:noFill/>
                                    </a:ln>
                                    <a:solidFill>
                                      <a:schemeClr val="bg2">
                                        <a:lumMod val="25000"/>
                                      </a:schemeClr>
                                    </a:solidFill>
                                    <a:latin typeface="Cambria Math" panose="02040503050406030204" pitchFamily="18" charset="0"/>
                                    <a:cs typeface="Times New Roman" panose="02020603050405020304" pitchFamily="18" charset="0"/>
                                  </a:rPr>
                                  <m:t>𝐿</m:t>
                                </m:r>
                              </m:sub>
                            </m:s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+</m:t>
                            </m:r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𝑅</m:t>
                            </m:r>
                          </m:e>
                        </m:d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𝑑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es-AR" sz="2400" b="0" i="1">
                            <a:ln>
                              <a:noFill/>
                            </a:ln>
                            <a:solidFill>
                              <a:schemeClr val="bg2">
                                <a:lumMod val="25000"/>
                              </a:schemeClr>
                            </a:solidFill>
                            <a:latin typeface="Cambria Math" panose="02040503050406030204" pitchFamily="18" charset="0"/>
                            <a:cs typeface="Times New Roman" panose="02020603050405020304" pitchFamily="18" charset="0"/>
                          </a:rPr>
                          <m:t>+</m:t>
                        </m:r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𝐿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  <m:sSubSup>
                          <m:sSubSupPr>
                            <m:ctrlP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</m:ctrlPr>
                          </m:sSubSupPr>
                          <m:e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𝑑</m:t>
                            </m:r>
                          </m:sub>
                          <m:sup>
                            <m:r>
                              <a:rPr lang="es-AR" sz="2400" b="0" i="1">
                                <a:ln>
                                  <a:noFill/>
                                </a:ln>
                                <a:solidFill>
                                  <a:schemeClr val="bg2">
                                    <a:lumMod val="25000"/>
                                  </a:schemeClr>
                                </a:solidFill>
                                <a:latin typeface="Cambria Math" panose="02040503050406030204" pitchFamily="18" charset="0"/>
                                <a:cs typeface="Times New Roman" panose="02020603050405020304" pitchFamily="18" charset="0"/>
                              </a:rPr>
                              <m:t>2</m:t>
                            </m:r>
                          </m:sup>
                        </m:sSubSup>
                      </m:e>
                    </m:rad>
                  </m:oMath>
                </m:oMathPara>
              </a14:m>
              <a:endParaRPr lang="es-ES" sz="1050" i="1">
                <a:ln>
                  <a:noFill/>
                </a:ln>
                <a:solidFill>
                  <a:schemeClr val="bg2">
                    <a:lumMod val="25000"/>
                  </a:schemeClr>
                </a:solidFill>
                <a:cs typeface="Times New Roman" panose="02020603050405020304" pitchFamily="18" charset="0"/>
              </a:endParaRPr>
            </a:p>
          </xdr:txBody>
        </xdr:sp>
      </mc:Choice>
      <mc:Fallback>
        <xdr:sp macro="" textlink="">
          <xdr:nvSpPr>
            <xdr:cNvPr id="4" name="3 Rectángulo">
              <a:extLst>
                <a:ext uri="{FF2B5EF4-FFF2-40B4-BE49-F238E27FC236}">
                  <a16:creationId xmlns:a16="http://schemas.microsoft.com/office/drawing/2014/main" id="{99A2184F-3D8E-455D-893A-67FF490673B2}"/>
                </a:ext>
              </a:extLst>
            </xdr:cNvPr>
            <xdr:cNvSpPr/>
          </xdr:nvSpPr>
          <xdr:spPr>
            <a:xfrm>
              <a:off x="1997075" y="8417717"/>
              <a:ext cx="4685506" cy="843885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 algn="just"/>
              <a:r>
                <a:rPr lang="en-US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𝑆𝑠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=</a:t>
              </a:r>
              <a:r>
                <a:rPr lang="es-AR" sz="2400" b="0" i="0">
                  <a:ln>
                    <a:noFill/>
                  </a:ln>
                  <a:solidFill>
                    <a:srgbClr val="002060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𝑍_𝛼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 </a:t>
              </a:r>
              <a:r>
                <a:rPr lang="es-AR" sz="240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√((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𝜇_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𝐿+𝑅)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 𝜎_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𝑑^2+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𝜎_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𝐿^2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 𝜇_</a:t>
              </a:r>
              <a:r>
                <a:rPr lang="es-AR" sz="2400" b="0" i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𝑑^2 )</a:t>
              </a:r>
              <a:endParaRPr lang="es-ES" sz="1050" i="1">
                <a:ln>
                  <a:noFill/>
                </a:ln>
                <a:solidFill>
                  <a:schemeClr val="bg2">
                    <a:lumMod val="25000"/>
                  </a:schemeClr>
                </a:solidFill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fb>107.30864904461995</fb>
    <v>&lt;class 'float'&gt;</v>
    <v>float</v>
    <v>107.30864904461995</v>
    <v>107.30864904461995</v>
    <v>0</v>
  </rv>
  <rv s="0">
    <fb>69.66</fb>
    <v>&lt;class 'float'&gt;</v>
    <v>float</v>
    <v>69.66</v>
    <v>69.66</v>
    <v>0</v>
  </rv>
  <rv s="0">
    <fb>25.63</fb>
    <v>&lt;class 'float'&gt;</v>
    <v>float</v>
    <v>25.63</v>
    <v>25.63</v>
    <v>0</v>
  </rv>
</rvData>
</file>

<file path=xl/richData/rdrichvaluestructure.xml><?xml version="1.0" encoding="utf-8"?>
<rvStructures xmlns="http://schemas.microsoft.com/office/spreadsheetml/2017/richdata" count="1">
  <s t="_python">
    <k n="Python_type" t="s"/>
    <k n="Python_typeName" t="s"/>
    <k n="Python_str" t="s"/>
    <k n="basicValue"/>
    <k n="_Provider" t="spb"/>
  </s>
</rvStructures>
</file>

<file path=xl/richData/rdsupportingpropertybag.xml><?xml version="1.0" encoding="utf-8"?>
<supportingPropertyBags xmlns="http://schemas.microsoft.com/office/spreadsheetml/2017/richdata2">
  <spbData count="1">
    <spb s="0">
      <v>https://www.anaconda.com/excel</v>
      <v>https://res.cdn.office.net/officepysvc/prod-preview/anacondalogo.png</v>
      <v>Python proporcionado por Anaconda</v>
    </spb>
  </spbData>
</supportingPropertyBags>
</file>

<file path=xl/richData/rdsupportingpropertybagstructure.xml><?xml version="1.0" encoding="utf-8"?>
<spbStructures xmlns="http://schemas.microsoft.com/office/spreadsheetml/2017/richdata2" count="1">
  <s>
    <k n="link" t="s"/>
    <k n="logo" t="s"/>
    <k n="name" t="s"/>
  </s>
</spb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70C99-56E9-40DF-89AB-1714F7401B9D}">
  <dimension ref="A3:J44"/>
  <sheetViews>
    <sheetView topLeftCell="B8" zoomScale="240" zoomScaleNormal="240" workbookViewId="0">
      <selection activeCell="E13" sqref="E13"/>
    </sheetView>
  </sheetViews>
  <sheetFormatPr baseColWidth="10" defaultRowHeight="15" x14ac:dyDescent="0.25"/>
  <cols>
    <col min="3" max="3" width="2.5703125" customWidth="1"/>
    <col min="4" max="4" width="12.28515625" customWidth="1"/>
    <col min="5" max="5" width="13" bestFit="1" customWidth="1"/>
    <col min="6" max="6" width="14.5703125" customWidth="1"/>
    <col min="9" max="9" width="43.42578125" customWidth="1"/>
  </cols>
  <sheetData>
    <row r="3" spans="1:9" x14ac:dyDescent="0.25">
      <c r="A3" s="1">
        <v>45658</v>
      </c>
      <c r="B3">
        <v>50</v>
      </c>
      <c r="D3" t="s">
        <v>0</v>
      </c>
      <c r="E3">
        <f>+AVERAGE(B3:B15)</f>
        <v>81.538461538461533</v>
      </c>
    </row>
    <row r="4" spans="1:9" x14ac:dyDescent="0.25">
      <c r="A4" s="1">
        <v>45689</v>
      </c>
      <c r="B4">
        <v>60</v>
      </c>
      <c r="D4" t="s">
        <v>1</v>
      </c>
      <c r="E4" s="5">
        <f>+_xlfn.STDEV.S(B3:B15)</f>
        <v>25.770187506158425</v>
      </c>
    </row>
    <row r="5" spans="1:9" x14ac:dyDescent="0.25">
      <c r="A5" s="1">
        <v>45717</v>
      </c>
      <c r="B5">
        <v>70</v>
      </c>
    </row>
    <row r="6" spans="1:9" x14ac:dyDescent="0.25">
      <c r="A6" s="1">
        <v>45748</v>
      </c>
      <c r="B6">
        <v>80</v>
      </c>
      <c r="D6" t="s">
        <v>2</v>
      </c>
      <c r="E6" s="4">
        <v>0.99</v>
      </c>
    </row>
    <row r="7" spans="1:9" x14ac:dyDescent="0.25">
      <c r="A7" s="1">
        <v>45778</v>
      </c>
      <c r="B7">
        <v>90</v>
      </c>
    </row>
    <row r="8" spans="1:9" x14ac:dyDescent="0.25">
      <c r="A8" s="1">
        <v>45809</v>
      </c>
      <c r="B8">
        <v>50</v>
      </c>
      <c r="D8" t="s">
        <v>3</v>
      </c>
      <c r="E8" s="6">
        <f>+NORMSINV(E6)</f>
        <v>2.3263478740408408</v>
      </c>
      <c r="F8" s="3" t="s">
        <v>4</v>
      </c>
    </row>
    <row r="9" spans="1:9" x14ac:dyDescent="0.25">
      <c r="A9" s="1">
        <v>45839</v>
      </c>
      <c r="B9">
        <v>70</v>
      </c>
    </row>
    <row r="10" spans="1:9" x14ac:dyDescent="0.25">
      <c r="A10" s="1">
        <v>45870</v>
      </c>
      <c r="B10">
        <v>80</v>
      </c>
      <c r="D10" t="s">
        <v>5</v>
      </c>
      <c r="E10" s="9">
        <v>40</v>
      </c>
      <c r="F10" t="s">
        <v>6</v>
      </c>
    </row>
    <row r="11" spans="1:9" x14ac:dyDescent="0.25">
      <c r="A11" s="1">
        <v>45901</v>
      </c>
      <c r="B11">
        <v>90</v>
      </c>
      <c r="D11" t="s">
        <v>5</v>
      </c>
      <c r="E11" s="5">
        <f>(E10+0.5)/30</f>
        <v>1.35</v>
      </c>
      <c r="F11" t="s">
        <v>7</v>
      </c>
      <c r="G11" s="8" t="s">
        <v>10</v>
      </c>
    </row>
    <row r="12" spans="1:9" x14ac:dyDescent="0.25">
      <c r="A12" s="1">
        <v>45931</v>
      </c>
      <c r="B12">
        <v>110</v>
      </c>
      <c r="D12" s="13" t="s">
        <v>43</v>
      </c>
      <c r="E12" s="13">
        <v>1.6</v>
      </c>
      <c r="F12" t="s">
        <v>6</v>
      </c>
    </row>
    <row r="13" spans="1:9" x14ac:dyDescent="0.25">
      <c r="A13" s="1">
        <v>45962</v>
      </c>
      <c r="B13">
        <v>60</v>
      </c>
      <c r="D13" t="s">
        <v>8</v>
      </c>
      <c r="E13">
        <f>+E8*E4*SQRT(E11)</f>
        <v>69.656094544741904</v>
      </c>
      <c r="F13" s="7" t="s">
        <v>9</v>
      </c>
      <c r="H13">
        <f>+E8*SQRT((E11*E4^2)+(E12/30)^2*(E3^2))</f>
        <v>70.38691444476774</v>
      </c>
      <c r="I13" s="3" t="s">
        <v>44</v>
      </c>
    </row>
    <row r="14" spans="1:9" x14ac:dyDescent="0.25">
      <c r="A14" s="1">
        <v>45992</v>
      </c>
      <c r="B14">
        <v>120</v>
      </c>
      <c r="D14" t="s">
        <v>11</v>
      </c>
      <c r="E14" s="9">
        <f>+E13/E3*30</f>
        <v>25.628185728725796</v>
      </c>
      <c r="F14" t="s">
        <v>6</v>
      </c>
    </row>
    <row r="15" spans="1:9" x14ac:dyDescent="0.25">
      <c r="A15" s="1">
        <v>46023</v>
      </c>
      <c r="B15">
        <v>130</v>
      </c>
      <c r="D15" t="s">
        <v>12</v>
      </c>
      <c r="E15">
        <f>+E14+E10</f>
        <v>65.628185728725796</v>
      </c>
      <c r="F15" t="s">
        <v>6</v>
      </c>
    </row>
    <row r="17" spans="4:10" x14ac:dyDescent="0.25">
      <c r="D17" t="s">
        <v>13</v>
      </c>
      <c r="E17" s="9">
        <f>+E14+E10/2</f>
        <v>45.628185728725796</v>
      </c>
      <c r="F17" t="s">
        <v>6</v>
      </c>
      <c r="G17" s="3" t="s">
        <v>14</v>
      </c>
    </row>
    <row r="19" spans="4:10" x14ac:dyDescent="0.25">
      <c r="D19" t="s">
        <v>15</v>
      </c>
    </row>
    <row r="20" spans="4:10" x14ac:dyDescent="0.25">
      <c r="D20" t="s">
        <v>16</v>
      </c>
    </row>
    <row r="21" spans="4:10" x14ac:dyDescent="0.25">
      <c r="D21" t="s">
        <v>17</v>
      </c>
    </row>
    <row r="22" spans="4:10" x14ac:dyDescent="0.25">
      <c r="D22" t="s">
        <v>30</v>
      </c>
    </row>
    <row r="24" spans="4:10" x14ac:dyDescent="0.25">
      <c r="E24" t="s">
        <v>18</v>
      </c>
      <c r="F24" t="s">
        <v>19</v>
      </c>
      <c r="G24" t="s">
        <v>20</v>
      </c>
      <c r="H24" t="s">
        <v>21</v>
      </c>
      <c r="J24" t="s">
        <v>29</v>
      </c>
    </row>
    <row r="25" spans="4:10" x14ac:dyDescent="0.25">
      <c r="D25" t="s">
        <v>22</v>
      </c>
      <c r="E25">
        <v>100</v>
      </c>
      <c r="F25">
        <v>80</v>
      </c>
      <c r="G25">
        <v>60</v>
      </c>
      <c r="H25">
        <f>+E25-F25+G25</f>
        <v>80</v>
      </c>
    </row>
    <row r="26" spans="4:10" x14ac:dyDescent="0.25">
      <c r="D26" t="s">
        <v>23</v>
      </c>
      <c r="E26">
        <f>+H25</f>
        <v>80</v>
      </c>
      <c r="F26">
        <v>60</v>
      </c>
      <c r="G26">
        <v>50</v>
      </c>
      <c r="H26">
        <f>+E26-F26+G26</f>
        <v>70</v>
      </c>
    </row>
    <row r="27" spans="4:10" x14ac:dyDescent="0.25">
      <c r="D27" t="s">
        <v>24</v>
      </c>
      <c r="E27">
        <f>+H26</f>
        <v>70</v>
      </c>
      <c r="F27" s="11">
        <v>80</v>
      </c>
      <c r="G27">
        <f>MAX(0,ROUNDUP((J27-E27+F27)/100,0)*100)</f>
        <v>200</v>
      </c>
      <c r="H27">
        <f>+E27-F27+G27</f>
        <v>190</v>
      </c>
      <c r="I27" s="3" t="s">
        <v>31</v>
      </c>
      <c r="J27">
        <f>+F27/30*$E$17</f>
        <v>121.67516194326879</v>
      </c>
    </row>
    <row r="28" spans="4:10" x14ac:dyDescent="0.25">
      <c r="D28" t="s">
        <v>25</v>
      </c>
      <c r="E28">
        <f t="shared" ref="E28:E31" si="0">+H27</f>
        <v>190</v>
      </c>
      <c r="F28" s="10">
        <v>120</v>
      </c>
      <c r="G28">
        <f t="shared" ref="G28:G31" si="1">MAX(0,ROUNDUP((J28-E28+F28)/100,0)*100)</f>
        <v>200</v>
      </c>
      <c r="H28">
        <f t="shared" ref="H28:H31" si="2">+E28-F28+G28</f>
        <v>270</v>
      </c>
      <c r="J28">
        <f>+F28/30*$E$17</f>
        <v>182.51274291490319</v>
      </c>
    </row>
    <row r="29" spans="4:10" x14ac:dyDescent="0.25">
      <c r="D29" t="s">
        <v>26</v>
      </c>
      <c r="E29">
        <f t="shared" si="0"/>
        <v>270</v>
      </c>
      <c r="F29" s="10">
        <v>70</v>
      </c>
      <c r="G29">
        <f t="shared" si="1"/>
        <v>0</v>
      </c>
      <c r="H29">
        <f t="shared" si="2"/>
        <v>200</v>
      </c>
      <c r="I29" s="3" t="s">
        <v>32</v>
      </c>
      <c r="J29">
        <f>+F29/30*$E$17</f>
        <v>106.46576670036019</v>
      </c>
    </row>
    <row r="30" spans="4:10" x14ac:dyDescent="0.25">
      <c r="D30" t="s">
        <v>27</v>
      </c>
      <c r="E30">
        <f t="shared" si="0"/>
        <v>200</v>
      </c>
      <c r="F30" s="10">
        <v>60</v>
      </c>
      <c r="G30">
        <f t="shared" si="1"/>
        <v>0</v>
      </c>
      <c r="H30">
        <f t="shared" si="2"/>
        <v>140</v>
      </c>
      <c r="J30">
        <f>+F30/30*$E$17</f>
        <v>91.256371457451593</v>
      </c>
    </row>
    <row r="31" spans="4:10" x14ac:dyDescent="0.25">
      <c r="D31" t="s">
        <v>28</v>
      </c>
      <c r="E31">
        <f t="shared" si="0"/>
        <v>140</v>
      </c>
      <c r="F31" s="10">
        <v>140</v>
      </c>
      <c r="G31">
        <f t="shared" si="1"/>
        <v>300</v>
      </c>
      <c r="H31">
        <f t="shared" si="2"/>
        <v>300</v>
      </c>
      <c r="J31">
        <f>+F31/30*$E$17</f>
        <v>212.93153340072038</v>
      </c>
    </row>
    <row r="35" spans="4:7" x14ac:dyDescent="0.25">
      <c r="D35" t="s">
        <v>33</v>
      </c>
    </row>
    <row r="37" spans="4:7" x14ac:dyDescent="0.25">
      <c r="E37" t="s">
        <v>34</v>
      </c>
      <c r="F37" s="5">
        <v>30</v>
      </c>
      <c r="G37" t="s">
        <v>35</v>
      </c>
    </row>
    <row r="38" spans="4:7" x14ac:dyDescent="0.25">
      <c r="E38" t="s">
        <v>36</v>
      </c>
      <c r="F38">
        <v>40</v>
      </c>
    </row>
    <row r="39" spans="4:7" x14ac:dyDescent="0.25">
      <c r="E39" t="s">
        <v>37</v>
      </c>
      <c r="F39" s="5">
        <v>3</v>
      </c>
    </row>
    <row r="40" spans="4:7" x14ac:dyDescent="0.25">
      <c r="E40" t="s">
        <v>38</v>
      </c>
      <c r="F40" s="2">
        <v>0.99</v>
      </c>
    </row>
    <row r="41" spans="4:7" x14ac:dyDescent="0.25">
      <c r="E41" t="s">
        <v>39</v>
      </c>
      <c r="F41" s="6">
        <f>+E8</f>
        <v>2.3263478740408408</v>
      </c>
    </row>
    <row r="43" spans="4:7" x14ac:dyDescent="0.25">
      <c r="E43" t="s">
        <v>41</v>
      </c>
      <c r="F43">
        <f>+F37*F39*F41</f>
        <v>209.37130866367568</v>
      </c>
      <c r="G43" s="3" t="s">
        <v>40</v>
      </c>
    </row>
    <row r="44" spans="4:7" x14ac:dyDescent="0.25">
      <c r="E44" t="s">
        <v>42</v>
      </c>
      <c r="F44" s="12">
        <f>+F43/F37</f>
        <v>6.9790436221225223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3772-5740-4892-96E0-91A0EA3C7998}">
  <dimension ref="A3:J44"/>
  <sheetViews>
    <sheetView zoomScale="240" zoomScaleNormal="240" workbookViewId="0">
      <selection activeCell="B15" sqref="A3:B15"/>
    </sheetView>
  </sheetViews>
  <sheetFormatPr baseColWidth="10" defaultRowHeight="15" x14ac:dyDescent="0.25"/>
  <cols>
    <col min="3" max="3" width="2.5703125" customWidth="1"/>
    <col min="4" max="4" width="12.28515625" customWidth="1"/>
    <col min="5" max="5" width="13" bestFit="1" customWidth="1"/>
    <col min="6" max="6" width="14.5703125" customWidth="1"/>
    <col min="8" max="8" width="14.5703125" bestFit="1" customWidth="1"/>
    <col min="9" max="9" width="43.42578125" customWidth="1"/>
  </cols>
  <sheetData>
    <row r="3" spans="1:9" x14ac:dyDescent="0.25">
      <c r="A3" s="1">
        <v>45658</v>
      </c>
      <c r="B3">
        <v>50</v>
      </c>
      <c r="D3" t="s">
        <v>0</v>
      </c>
      <c r="E3">
        <f>+AVERAGE(B3:B15)</f>
        <v>81.538461538461533</v>
      </c>
      <c r="H3" cm="1" vm="1">
        <f t="array" ref="H3">_xlfn._xlws.PY(0,1,E3,E4)</f>
        <v>107.30864904461995</v>
      </c>
    </row>
    <row r="4" spans="1:9" x14ac:dyDescent="0.25">
      <c r="A4" s="1">
        <v>45689</v>
      </c>
      <c r="B4">
        <v>60</v>
      </c>
      <c r="D4" t="s">
        <v>1</v>
      </c>
      <c r="E4" s="5">
        <f>+_xlfn.STDEV.S(B3:B15)</f>
        <v>25.770187506158425</v>
      </c>
      <c r="H4">
        <f>+H3+1</f>
        <v>108.30864904461995</v>
      </c>
    </row>
    <row r="5" spans="1:9" x14ac:dyDescent="0.25">
      <c r="A5" s="1">
        <v>45717</v>
      </c>
      <c r="B5">
        <v>70</v>
      </c>
    </row>
    <row r="6" spans="1:9" x14ac:dyDescent="0.25">
      <c r="A6" s="1">
        <v>45748</v>
      </c>
      <c r="B6">
        <v>80</v>
      </c>
      <c r="D6" t="s">
        <v>2</v>
      </c>
      <c r="E6" s="4">
        <v>0.99</v>
      </c>
    </row>
    <row r="7" spans="1:9" x14ac:dyDescent="0.25">
      <c r="A7" s="1">
        <v>45778</v>
      </c>
      <c r="B7">
        <v>90</v>
      </c>
    </row>
    <row r="8" spans="1:9" x14ac:dyDescent="0.25">
      <c r="A8" s="1">
        <v>45809</v>
      </c>
      <c r="B8">
        <v>50</v>
      </c>
      <c r="D8" t="s">
        <v>3</v>
      </c>
      <c r="E8" s="6">
        <f>+NORMSINV(E6)</f>
        <v>2.3263478740408408</v>
      </c>
      <c r="F8" s="3" t="s">
        <v>4</v>
      </c>
    </row>
    <row r="9" spans="1:9" x14ac:dyDescent="0.25">
      <c r="A9" s="1">
        <v>45839</v>
      </c>
      <c r="B9">
        <v>70</v>
      </c>
    </row>
    <row r="10" spans="1:9" x14ac:dyDescent="0.25">
      <c r="A10" s="1">
        <v>45870</v>
      </c>
      <c r="B10">
        <v>80</v>
      </c>
      <c r="D10" t="s">
        <v>5</v>
      </c>
      <c r="E10" s="9">
        <v>40</v>
      </c>
      <c r="F10" t="s">
        <v>6</v>
      </c>
    </row>
    <row r="11" spans="1:9" x14ac:dyDescent="0.25">
      <c r="A11" s="1">
        <v>45901</v>
      </c>
      <c r="B11">
        <v>90</v>
      </c>
      <c r="D11" t="s">
        <v>5</v>
      </c>
      <c r="E11" s="5">
        <f>(E10+0.5)/30</f>
        <v>1.35</v>
      </c>
      <c r="F11" t="s">
        <v>7</v>
      </c>
      <c r="G11" s="8" t="s">
        <v>10</v>
      </c>
    </row>
    <row r="12" spans="1:9" x14ac:dyDescent="0.25">
      <c r="A12" s="1">
        <v>45931</v>
      </c>
      <c r="B12">
        <v>110</v>
      </c>
      <c r="D12" s="13" t="s">
        <v>43</v>
      </c>
      <c r="E12" s="13">
        <v>1.6</v>
      </c>
      <c r="F12" t="s">
        <v>6</v>
      </c>
    </row>
    <row r="13" spans="1:9" x14ac:dyDescent="0.25">
      <c r="A13" s="1">
        <v>45962</v>
      </c>
      <c r="B13">
        <v>60</v>
      </c>
      <c r="D13" t="s">
        <v>8</v>
      </c>
      <c r="E13">
        <f>+E8*E4*SQRT(E11)</f>
        <v>69.656094544741904</v>
      </c>
      <c r="F13" s="7" t="s">
        <v>9</v>
      </c>
      <c r="H13">
        <f>+E8*SQRT((E11*E4^2)+(E12/30)^2*(E3^2))</f>
        <v>70.38691444476774</v>
      </c>
      <c r="I13" s="3" t="s">
        <v>44</v>
      </c>
    </row>
    <row r="14" spans="1:9" x14ac:dyDescent="0.25">
      <c r="A14" s="1">
        <v>45992</v>
      </c>
      <c r="B14">
        <v>120</v>
      </c>
      <c r="D14" t="s">
        <v>11</v>
      </c>
      <c r="E14" s="9">
        <f>+E13/E3*30</f>
        <v>25.628185728725796</v>
      </c>
      <c r="F14" t="s">
        <v>6</v>
      </c>
    </row>
    <row r="15" spans="1:9" x14ac:dyDescent="0.25">
      <c r="A15" s="1">
        <v>46023</v>
      </c>
      <c r="B15">
        <v>130</v>
      </c>
      <c r="D15" t="s">
        <v>12</v>
      </c>
      <c r="E15">
        <f>+E14+E10</f>
        <v>65.628185728725796</v>
      </c>
      <c r="F15" t="s">
        <v>6</v>
      </c>
    </row>
    <row r="17" spans="4:10" x14ac:dyDescent="0.25">
      <c r="D17" t="s">
        <v>13</v>
      </c>
      <c r="E17" s="9">
        <f>+E14+E10/2</f>
        <v>45.628185728725796</v>
      </c>
      <c r="F17" t="s">
        <v>6</v>
      </c>
      <c r="G17" s="3" t="s">
        <v>14</v>
      </c>
    </row>
    <row r="19" spans="4:10" x14ac:dyDescent="0.25">
      <c r="D19" t="s">
        <v>15</v>
      </c>
    </row>
    <row r="20" spans="4:10" x14ac:dyDescent="0.25">
      <c r="D20" t="s">
        <v>16</v>
      </c>
    </row>
    <row r="21" spans="4:10" x14ac:dyDescent="0.25">
      <c r="D21" t="s">
        <v>17</v>
      </c>
    </row>
    <row r="22" spans="4:10" x14ac:dyDescent="0.25">
      <c r="D22" t="s">
        <v>30</v>
      </c>
    </row>
    <row r="24" spans="4:10" x14ac:dyDescent="0.25">
      <c r="E24" t="s">
        <v>18</v>
      </c>
      <c r="F24" t="s">
        <v>19</v>
      </c>
      <c r="G24" t="s">
        <v>20</v>
      </c>
      <c r="H24" t="s">
        <v>21</v>
      </c>
      <c r="J24" t="s">
        <v>29</v>
      </c>
    </row>
    <row r="25" spans="4:10" x14ac:dyDescent="0.25">
      <c r="D25" t="s">
        <v>22</v>
      </c>
      <c r="E25">
        <v>100</v>
      </c>
      <c r="F25">
        <v>80</v>
      </c>
      <c r="G25">
        <v>60</v>
      </c>
      <c r="H25">
        <f>+E25-F25+G25</f>
        <v>80</v>
      </c>
    </row>
    <row r="26" spans="4:10" x14ac:dyDescent="0.25">
      <c r="D26" t="s">
        <v>23</v>
      </c>
      <c r="E26">
        <f>+H25</f>
        <v>80</v>
      </c>
      <c r="F26">
        <v>60</v>
      </c>
      <c r="G26">
        <v>50</v>
      </c>
      <c r="H26">
        <f>+E26-F26+G26</f>
        <v>70</v>
      </c>
    </row>
    <row r="27" spans="4:10" x14ac:dyDescent="0.25">
      <c r="D27" t="s">
        <v>24</v>
      </c>
      <c r="E27">
        <f>+H26</f>
        <v>70</v>
      </c>
      <c r="F27" s="11">
        <v>80</v>
      </c>
      <c r="G27">
        <f>MAX(0,ROUNDUP((J27-E27+F27)/100,0)*100)</f>
        <v>200</v>
      </c>
      <c r="H27">
        <f>+E27-F27+G27</f>
        <v>190</v>
      </c>
      <c r="I27" s="3" t="s">
        <v>31</v>
      </c>
      <c r="J27">
        <f>+F27/30*$E$17</f>
        <v>121.67516194326879</v>
      </c>
    </row>
    <row r="28" spans="4:10" x14ac:dyDescent="0.25">
      <c r="D28" t="s">
        <v>25</v>
      </c>
      <c r="E28">
        <f t="shared" ref="E28:E31" si="0">+H27</f>
        <v>190</v>
      </c>
      <c r="F28" s="10">
        <v>120</v>
      </c>
      <c r="G28">
        <f t="shared" ref="G28:G31" si="1">MAX(0,ROUNDUP((J28-E28+F28)/100,0)*100)</f>
        <v>200</v>
      </c>
      <c r="H28">
        <f t="shared" ref="H28:H31" si="2">+E28-F28+G28</f>
        <v>270</v>
      </c>
      <c r="J28">
        <f>+F28/30*$E$17</f>
        <v>182.51274291490319</v>
      </c>
    </row>
    <row r="29" spans="4:10" x14ac:dyDescent="0.25">
      <c r="D29" t="s">
        <v>26</v>
      </c>
      <c r="E29">
        <f t="shared" si="0"/>
        <v>270</v>
      </c>
      <c r="F29" s="10">
        <v>70</v>
      </c>
      <c r="G29">
        <f t="shared" si="1"/>
        <v>0</v>
      </c>
      <c r="H29">
        <f t="shared" si="2"/>
        <v>200</v>
      </c>
      <c r="I29" s="3" t="s">
        <v>32</v>
      </c>
      <c r="J29">
        <f>+F29/30*$E$17</f>
        <v>106.46576670036019</v>
      </c>
    </row>
    <row r="30" spans="4:10" x14ac:dyDescent="0.25">
      <c r="D30" t="s">
        <v>27</v>
      </c>
      <c r="E30">
        <f t="shared" si="0"/>
        <v>200</v>
      </c>
      <c r="F30" s="10">
        <v>60</v>
      </c>
      <c r="G30">
        <f t="shared" si="1"/>
        <v>0</v>
      </c>
      <c r="H30">
        <f t="shared" si="2"/>
        <v>140</v>
      </c>
      <c r="J30">
        <f>+F30/30*$E$17</f>
        <v>91.256371457451593</v>
      </c>
    </row>
    <row r="31" spans="4:10" x14ac:dyDescent="0.25">
      <c r="D31" t="s">
        <v>28</v>
      </c>
      <c r="E31">
        <f t="shared" si="0"/>
        <v>140</v>
      </c>
      <c r="F31" s="10">
        <v>140</v>
      </c>
      <c r="G31">
        <f t="shared" si="1"/>
        <v>300</v>
      </c>
      <c r="H31">
        <f t="shared" si="2"/>
        <v>300</v>
      </c>
      <c r="J31">
        <f>+F31/30*$E$17</f>
        <v>212.93153340072038</v>
      </c>
    </row>
    <row r="35" spans="4:7" x14ac:dyDescent="0.25">
      <c r="D35" t="s">
        <v>33</v>
      </c>
    </row>
    <row r="37" spans="4:7" x14ac:dyDescent="0.25">
      <c r="E37" t="s">
        <v>34</v>
      </c>
      <c r="F37" s="5">
        <v>30</v>
      </c>
      <c r="G37" t="s">
        <v>35</v>
      </c>
    </row>
    <row r="38" spans="4:7" x14ac:dyDescent="0.25">
      <c r="E38" t="s">
        <v>36</v>
      </c>
      <c r="F38">
        <v>40</v>
      </c>
    </row>
    <row r="39" spans="4:7" x14ac:dyDescent="0.25">
      <c r="E39" t="s">
        <v>37</v>
      </c>
      <c r="F39" s="5">
        <v>3</v>
      </c>
    </row>
    <row r="40" spans="4:7" x14ac:dyDescent="0.25">
      <c r="E40" t="s">
        <v>38</v>
      </c>
      <c r="F40" s="2">
        <v>0.99</v>
      </c>
    </row>
    <row r="41" spans="4:7" x14ac:dyDescent="0.25">
      <c r="E41" t="s">
        <v>39</v>
      </c>
      <c r="F41" s="6">
        <f>+E8</f>
        <v>2.3263478740408408</v>
      </c>
    </row>
    <row r="43" spans="4:7" x14ac:dyDescent="0.25">
      <c r="E43" t="s">
        <v>41</v>
      </c>
      <c r="F43">
        <f>+F37*F39*F41</f>
        <v>209.37130866367568</v>
      </c>
      <c r="G43" s="3" t="s">
        <v>40</v>
      </c>
    </row>
    <row r="44" spans="4:7" x14ac:dyDescent="0.25">
      <c r="E44" t="s">
        <v>42</v>
      </c>
      <c r="F44" s="12">
        <f>+F43/F37</f>
        <v>6.9790436221225223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CDC37-931E-4353-991D-596D5C031541}">
  <dimension ref="A3:C20"/>
  <sheetViews>
    <sheetView tabSelected="1" topLeftCell="A6" zoomScale="200" zoomScaleNormal="200" workbookViewId="0">
      <selection activeCell="D12" sqref="D7:D12"/>
    </sheetView>
  </sheetViews>
  <sheetFormatPr baseColWidth="10" defaultRowHeight="15" x14ac:dyDescent="0.25"/>
  <cols>
    <col min="4" max="4" width="19.42578125" customWidth="1"/>
    <col min="5" max="5" width="14.5703125" bestFit="1" customWidth="1"/>
  </cols>
  <sheetData>
    <row r="3" spans="1:3" x14ac:dyDescent="0.25">
      <c r="A3" s="1">
        <v>45658</v>
      </c>
      <c r="B3">
        <v>50</v>
      </c>
      <c r="C3">
        <v>50</v>
      </c>
    </row>
    <row r="4" spans="1:3" x14ac:dyDescent="0.25">
      <c r="A4" s="1">
        <v>45689</v>
      </c>
      <c r="B4">
        <v>60</v>
      </c>
      <c r="C4">
        <v>60</v>
      </c>
    </row>
    <row r="5" spans="1:3" x14ac:dyDescent="0.25">
      <c r="A5" s="1">
        <v>45717</v>
      </c>
      <c r="B5">
        <v>70</v>
      </c>
      <c r="C5">
        <v>70</v>
      </c>
    </row>
    <row r="6" spans="1:3" x14ac:dyDescent="0.25">
      <c r="A6" s="1">
        <v>45748</v>
      </c>
      <c r="B6">
        <v>80</v>
      </c>
      <c r="C6">
        <v>80</v>
      </c>
    </row>
    <row r="7" spans="1:3" x14ac:dyDescent="0.25">
      <c r="A7" s="1">
        <v>45778</v>
      </c>
      <c r="B7">
        <v>90</v>
      </c>
      <c r="C7">
        <v>90</v>
      </c>
    </row>
    <row r="8" spans="1:3" x14ac:dyDescent="0.25">
      <c r="A8" s="1">
        <v>45809</v>
      </c>
      <c r="B8">
        <v>50</v>
      </c>
      <c r="C8">
        <v>50</v>
      </c>
    </row>
    <row r="9" spans="1:3" x14ac:dyDescent="0.25">
      <c r="A9" s="1">
        <v>45839</v>
      </c>
      <c r="B9">
        <v>70</v>
      </c>
      <c r="C9">
        <v>70</v>
      </c>
    </row>
    <row r="10" spans="1:3" x14ac:dyDescent="0.25">
      <c r="A10" s="1">
        <v>45870</v>
      </c>
      <c r="B10">
        <v>80</v>
      </c>
      <c r="C10">
        <v>80</v>
      </c>
    </row>
    <row r="11" spans="1:3" x14ac:dyDescent="0.25">
      <c r="A11" s="1">
        <v>45901</v>
      </c>
      <c r="B11">
        <v>90</v>
      </c>
      <c r="C11">
        <v>90</v>
      </c>
    </row>
    <row r="12" spans="1:3" x14ac:dyDescent="0.25">
      <c r="A12" s="1">
        <v>45931</v>
      </c>
      <c r="B12">
        <v>110</v>
      </c>
      <c r="C12">
        <v>110</v>
      </c>
    </row>
    <row r="13" spans="1:3" x14ac:dyDescent="0.25">
      <c r="A13" s="1">
        <v>45962</v>
      </c>
      <c r="B13">
        <v>60</v>
      </c>
      <c r="C13">
        <v>60</v>
      </c>
    </row>
    <row r="14" spans="1:3" x14ac:dyDescent="0.25">
      <c r="A14" s="1">
        <v>45992</v>
      </c>
      <c r="B14">
        <v>120</v>
      </c>
      <c r="C14">
        <v>120</v>
      </c>
    </row>
    <row r="15" spans="1:3" x14ac:dyDescent="0.25">
      <c r="A15" s="1">
        <v>46023</v>
      </c>
      <c r="B15">
        <v>130</v>
      </c>
      <c r="C15">
        <v>130</v>
      </c>
    </row>
    <row r="17" spans="1:3" x14ac:dyDescent="0.25">
      <c r="A17" t="s">
        <v>45</v>
      </c>
      <c r="B17" s="2">
        <v>0.99</v>
      </c>
      <c r="C17" s="2">
        <v>0.99</v>
      </c>
    </row>
    <row r="18" spans="1:3" x14ac:dyDescent="0.25">
      <c r="A18" t="s">
        <v>5</v>
      </c>
      <c r="B18">
        <v>40</v>
      </c>
      <c r="C18">
        <v>40</v>
      </c>
    </row>
    <row r="19" spans="1:3" x14ac:dyDescent="0.25">
      <c r="A19" t="s">
        <v>46</v>
      </c>
      <c r="B19" cm="1" vm="2">
        <f t="array" ref="B19">_xlfn._xlws.PY(1,1,B3:B15,B17,B18)</f>
        <v>69.66</v>
      </c>
      <c r="C19" cm="1" vm="2">
        <f t="array" ref="C19">_xlfn._xlws.PY(1,1,C3:C15,C17,C18)</f>
        <v>69.66</v>
      </c>
    </row>
    <row r="20" spans="1:3" x14ac:dyDescent="0.25">
      <c r="A20" t="s">
        <v>47</v>
      </c>
      <c r="B20" cm="1" vm="3">
        <f t="array" ref="B20">_xlfn._xlws.PY(2,1,B3:B15,B17,B18)</f>
        <v>25.63</v>
      </c>
      <c r="C20" cm="1" vm="3">
        <f t="array" ref="C20">_xlfn._xlws.PY(2,1,C3:C15,C17,C18)</f>
        <v>25.63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Hoja1 (2)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Najera</dc:creator>
  <cp:lastModifiedBy>Santiago Najera</cp:lastModifiedBy>
  <dcterms:created xsi:type="dcterms:W3CDTF">2026-07-01T13:25:31Z</dcterms:created>
  <dcterms:modified xsi:type="dcterms:W3CDTF">2026-07-01T17:33:40Z</dcterms:modified>
</cp:coreProperties>
</file>