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Mensuales" sheetId="1" state="visible" r:id="rId3"/>
    <sheet name="Ingresos USD" sheetId="2" state="visible" r:id="rId4"/>
    <sheet name="Resumen Anual" sheetId="3" state="visible" r:id="rId5"/>
    <sheet name="Catálog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<sst xmlns="http://schemas.openxmlformats.org/spreadsheetml/2006/main" count="195" uniqueCount="79">
  <si>
    <t xml:space="preserve">VENTAS MENSUALES – PRODUCTOS MÉDICOS DIÁLISIS</t>
  </si>
  <si>
    <t xml:space="preserve">Davita / Fresenius | 2020 – 2024 | Unidades vendidas por mes</t>
  </si>
  <si>
    <t xml:space="preserve">Año</t>
  </si>
  <si>
    <t xml:space="preserve">Mes</t>
  </si>
  <si>
    <t xml:space="preserve">Mes#</t>
  </si>
  <si>
    <t xml:space="preserve">DV-001
Concentrado Bicarbonato Diálisis 9.45L
(Litros)</t>
  </si>
  <si>
    <t xml:space="preserve">DV-002
Dializador FX80 Alto Flujo
(Unidades)</t>
  </si>
  <si>
    <t xml:space="preserve">DV-003
Catéter Doble Lumen Mahurkar 11.5Fr
(Unidades)</t>
  </si>
  <si>
    <t xml:space="preserve">DV-004
Solución Peritoneal Dianeal 2L 1.5%
(Bolsas)</t>
  </si>
  <si>
    <t xml:space="preserve">DV-005
Agujas Fístula AVF 15G x 25mm (caja x100)
(Cajas)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</si>
  <si>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</si>
  <si>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</si>
  <si>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</si>
  <si>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</si>
  <si>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</si>
  <si>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</si>
  <si>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</si>
  <si>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</si>
  <si>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</si>
  <si>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</si>
  <si>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</si>
  <si>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</si>
  <si>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</si>
  <si>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INGRESOS MENSUALES (USD) – PRODUCTOS MÉDICOS DIÁLISIS</t>
  </si>
  <si>
    <t xml:space="preserve">Davita / Fresenius | 2020 – 2024 | Ingresos en USD</t>
  </si>
  <si>
    <t xml:space="preserve">DV-001
Concentrado Bicarbonato Diálisis 9.45L
(USD)</t>
  </si>
  <si>
    <t xml:space="preserve">DV-002
Dializador FX80 Alto Flujo
(USD)</t>
  </si>
  <si>
    <t xml:space="preserve">DV-003
Catéter Doble Lumen Mahurkar 11.5Fr
(USD)</t>
  </si>
  <si>
    <t xml:space="preserve">DV-004
Solución Peritoneal Dianeal 2L 1.5%
(USD)</t>
  </si>
  <si>
    <t xml:space="preserve">DV-005
Agujas Fístula AVF 15G x 25mm (caja x100)
(USD)</t>
  </si>
  <si>
    <t xml:space="preserve">RESUMEN ANUAL DE VENTAS – UNIDADES E INGRESOS</t>
  </si>
  <si>
    <t xml:space="preserve">Davita / Fresenius | 2020 – 2024</t>
  </si>
  <si>
    <t xml:space="preserve">Producto</t>
  </si>
  <si>
    <t xml:space="preserve">2020 Uds</t>
  </si>
  <si>
    <t xml:space="preserve">2020 USD</t>
  </si>
  <si>
    <t xml:space="preserve">2021 Uds</t>
  </si>
  <si>
    <t xml:space="preserve">2021 USD</t>
  </si>
  <si>
    <t xml:space="preserve">2022 Uds</t>
  </si>
  <si>
    <t xml:space="preserve">2022 USD</t>
  </si>
  <si>
    <t xml:space="preserve">2023 Uds</t>
  </si>
  <si>
    <t xml:space="preserve">2023 USD</t>
  </si>
  <si>
    <t xml:space="preserve">2024 Uds</t>
  </si>
  <si>
    <t xml:space="preserve">2024 USD</t>
  </si>
  <si>
    <t xml:space="preserve">TOTAL Uds</t>
  </si>
  <si>
    <t xml:space="preserve">TOTAL USD</t>
  </si>
  <si>
    <t xml:space="preserve">DV-001 – Concentrado Bicarbonato Diálisis 9.45L</t>
  </si>
  <si>
    <t xml:space="preserve">DV-002 – Dializador FX80 Alto Flujo</t>
  </si>
  <si>
    <t xml:space="preserve">DV-003 – Catéter Doble Lumen Mahurkar 11.5Fr</t>
  </si>
  <si>
    <t xml:space="preserve">DV-004 – Solución Peritoneal Dianeal 2L 1.5%</t>
  </si>
  <si>
    <t xml:space="preserve">DV-005 – Agujas Fístula AVF 15G x 25mm (caja x100)</t>
  </si>
  <si>
    <t xml:space="preserve">TOTAL GENERAL</t>
  </si>
  <si>
    <t xml:space="preserve">CATÁLOGO DE PRODUCTOS – PRECIOS UNITARIOS</t>
  </si>
  <si>
    <t xml:space="preserve">Código</t>
  </si>
  <si>
    <t xml:space="preserve">Descripción</t>
  </si>
  <si>
    <t xml:space="preserve">Proveedor</t>
  </si>
  <si>
    <t xml:space="preserve">Unidad</t>
  </si>
  <si>
    <t xml:space="preserve">Precio Unit. (USD)</t>
  </si>
  <si>
    <t xml:space="preserve">Notas</t>
  </si>
  <si>
    <t xml:space="preserve">DV-001</t>
  </si>
  <si>
    <t xml:space="preserve">Concentrado Bicarbonato Diálisis 9.45L</t>
  </si>
  <si>
    <t xml:space="preserve">Davita</t>
  </si>
  <si>
    <t xml:space="preserve">Litros</t>
  </si>
  <si>
    <t xml:space="preserve">Concentrado ácido para hemodiálisis bicarbonato</t>
  </si>
  <si>
    <t xml:space="preserve">DV-002</t>
  </si>
  <si>
    <t xml:space="preserve">Dializador FX80 Alto Flujo</t>
  </si>
  <si>
    <t xml:space="preserve">Fresenius</t>
  </si>
  <si>
    <t xml:space="preserve">Unidades</t>
  </si>
  <si>
    <t xml:space="preserve">Membrana polisulfona, esterilización por vapor</t>
  </si>
  <si>
    <t xml:space="preserve">DV-003</t>
  </si>
  <si>
    <t xml:space="preserve">Catéter Doble Lumen Mahurkar 11.5Fr</t>
  </si>
  <si>
    <t xml:space="preserve">Acceso vascular temporal; longitud 20cm</t>
  </si>
  <si>
    <t xml:space="preserve">DV-004</t>
  </si>
  <si>
    <t xml:space="preserve">Solución Peritoneal Dianeal 2L 1.5%</t>
  </si>
  <si>
    <t xml:space="preserve">Bolsas</t>
  </si>
  <si>
    <t xml:space="preserve">Diálisis peritoneal ambulatoria continua (CAPD)</t>
  </si>
  <si>
    <t xml:space="preserve">DV-005</t>
  </si>
  <si>
    <t xml:space="preserve">Agujas Fístula AVF 15G x 25mm (caja x100)</t>
  </si>
  <si>
    <t xml:space="preserve">Cajas</t>
  </si>
  <si>
    <t xml:space="preserve">Aguja tipo Lancet, bisel corto, 100 uds/caja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</si>
</sst>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1D1B"/>
        <bgColor rgb="FF333300"/>
      </patternFill>
    </fill>
    <fill>
      <patternFill patternType="solid">
        <fgColor rgb="FF878785"/>
        <bgColor rgb="FF969696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5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8" min="4" style="0" width="22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51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n">
        <v>2020</v>
      </c>
      <c r="B5" s="5" t="s">
        <v>10</v>
      </c>
      <c r="C5" s="5" t="n">
        <v>1</v>
      </c>
      <c r="D5" s="6" t="n">
        <v>10796</v>
      </c>
      <c r="E5" s="6" t="n">
        <v>2846</v>
      </c>
      <c r="F5" s="6" t="n">
        <v>679</v>
      </c>
      <c r="G5" s="6" t="n">
        <v>5214</v>
      </c>
      <c r="H5" s="6" t="n">
        <v>1005</v>
      </c>
    </row>
    <row r="6" customFormat="false" ht="15" hidden="false" customHeight="false" outlineLevel="0" collapsed="false">
      <c r="A6" s="5" t="n">
        <v>2020</v>
      </c>
      <c r="B6" s="5" t="s">
        <v>11</v>
      </c>
      <c r="C6" s="5" t="n">
        <v>2</v>
      </c>
      <c r="D6" s="6" t="n">
        <v>10488</v>
      </c>
      <c r="E6" s="6" t="n">
        <v>3162</v>
      </c>
      <c r="F6" s="6" t="n">
        <v>635</v>
      </c>
      <c r="G6" s="6" t="n">
        <v>5204</v>
      </c>
      <c r="H6" s="6" t="n">
        <v>865</v>
      </c>
    </row>
    <row r="7" customFormat="false" ht="15" hidden="false" customHeight="false" outlineLevel="0" collapsed="false">
      <c r="A7" s="5" t="n">
        <v>2020</v>
      </c>
      <c r="B7" s="5" t="s">
        <v>12</v>
      </c>
      <c r="C7" s="5" t="n">
        <v>3</v>
      </c>
      <c r="D7" s="6" t="n">
        <v>10887</v>
      </c>
      <c r="E7" s="6" t="n">
        <v>3328</v>
      </c>
      <c r="F7" s="6" t="n">
        <v>702</v>
      </c>
      <c r="G7" s="6" t="n">
        <v>5606</v>
      </c>
      <c r="H7" s="6" t="n">
        <v>1070</v>
      </c>
    </row>
    <row r="8" customFormat="false" ht="15" hidden="false" customHeight="false" outlineLevel="0" collapsed="false">
      <c r="A8" s="5" t="n">
        <v>2020</v>
      </c>
      <c r="B8" s="5" t="s">
        <v>13</v>
      </c>
      <c r="C8" s="5" t="n">
        <v>4</v>
      </c>
      <c r="D8" s="6" t="n">
        <v>11845</v>
      </c>
      <c r="E8" s="6" t="n">
        <v>3277</v>
      </c>
      <c r="F8" s="6" t="n">
        <v>795</v>
      </c>
      <c r="G8" s="6" t="n">
        <v>6377</v>
      </c>
      <c r="H8" s="6" t="n">
        <v>993</v>
      </c>
    </row>
    <row r="9" customFormat="false" ht="15" hidden="false" customHeight="false" outlineLevel="0" collapsed="false">
      <c r="A9" s="5" t="n">
        <v>2020</v>
      </c>
      <c r="B9" s="5" t="s">
        <v>14</v>
      </c>
      <c r="C9" s="5" t="n">
        <v>5</v>
      </c>
      <c r="D9" s="6" t="n">
        <v>12839</v>
      </c>
      <c r="E9" s="6" t="n">
        <v>3683</v>
      </c>
      <c r="F9" s="6" t="n">
        <v>795</v>
      </c>
      <c r="G9" s="6" t="n">
        <v>5975</v>
      </c>
      <c r="H9" s="6" t="n">
        <v>1204</v>
      </c>
    </row>
    <row r="10" customFormat="false" ht="15" hidden="false" customHeight="false" outlineLevel="0" collapsed="false">
      <c r="A10" s="5" t="n">
        <v>2020</v>
      </c>
      <c r="B10" s="5" t="s">
        <v>15</v>
      </c>
      <c r="C10" s="5" t="n">
        <v>6</v>
      </c>
      <c r="D10" s="6" t="n">
        <v>12271</v>
      </c>
      <c r="E10" s="6" t="n">
        <v>3436</v>
      </c>
      <c r="F10" s="6" t="n">
        <v>786</v>
      </c>
      <c r="G10" s="6" t="n">
        <v>6872</v>
      </c>
      <c r="H10" s="6" t="n">
        <v>1174</v>
      </c>
    </row>
    <row r="11" customFormat="false" ht="15" hidden="false" customHeight="false" outlineLevel="0" collapsed="false">
      <c r="A11" s="5" t="n">
        <v>2020</v>
      </c>
      <c r="B11" s="5" t="s">
        <v>16</v>
      </c>
      <c r="C11" s="5" t="n">
        <v>7</v>
      </c>
      <c r="D11" s="6" t="n">
        <v>13597</v>
      </c>
      <c r="E11" s="6" t="n">
        <v>3919</v>
      </c>
      <c r="F11" s="6" t="n">
        <v>869</v>
      </c>
      <c r="G11" s="6" t="n">
        <v>7203</v>
      </c>
      <c r="H11" s="6" t="n">
        <v>1165</v>
      </c>
    </row>
    <row r="12" customFormat="false" ht="15" hidden="false" customHeight="false" outlineLevel="0" collapsed="false">
      <c r="A12" s="5" t="n">
        <v>2020</v>
      </c>
      <c r="B12" s="5" t="s">
        <v>17</v>
      </c>
      <c r="C12" s="5" t="n">
        <v>8</v>
      </c>
      <c r="D12" s="6" t="n">
        <v>13310</v>
      </c>
      <c r="E12" s="6" t="n">
        <v>4053</v>
      </c>
      <c r="F12" s="6" t="n">
        <v>897</v>
      </c>
      <c r="G12" s="6" t="n">
        <v>7215</v>
      </c>
      <c r="H12" s="6" t="n">
        <v>1225</v>
      </c>
    </row>
    <row r="13" customFormat="false" ht="15" hidden="false" customHeight="false" outlineLevel="0" collapsed="false">
      <c r="A13" s="5" t="n">
        <v>2020</v>
      </c>
      <c r="B13" s="5" t="s">
        <v>18</v>
      </c>
      <c r="C13" s="5" t="n">
        <v>9</v>
      </c>
      <c r="D13" s="6" t="n">
        <v>13136</v>
      </c>
      <c r="E13" s="6" t="n">
        <v>3440</v>
      </c>
      <c r="F13" s="6" t="n">
        <v>811</v>
      </c>
      <c r="G13" s="6" t="n">
        <v>6351</v>
      </c>
      <c r="H13" s="6" t="n">
        <v>1088</v>
      </c>
    </row>
    <row r="14" customFormat="false" ht="15" hidden="false" customHeight="false" outlineLevel="0" collapsed="false">
      <c r="A14" s="5" t="n">
        <v>2020</v>
      </c>
      <c r="B14" s="5" t="s">
        <v>19</v>
      </c>
      <c r="C14" s="5" t="n">
        <v>10</v>
      </c>
      <c r="D14" s="6" t="n">
        <v>11717</v>
      </c>
      <c r="E14" s="6" t="n">
        <v>3342</v>
      </c>
      <c r="F14" s="6" t="n">
        <v>787</v>
      </c>
      <c r="G14" s="6" t="n">
        <v>6461</v>
      </c>
      <c r="H14" s="6" t="n">
        <v>1098</v>
      </c>
    </row>
    <row r="15" customFormat="false" ht="15" hidden="false" customHeight="false" outlineLevel="0" collapsed="false">
      <c r="A15" s="5" t="n">
        <v>2020</v>
      </c>
      <c r="B15" s="5" t="s">
        <v>20</v>
      </c>
      <c r="C15" s="5" t="n">
        <v>11</v>
      </c>
      <c r="D15" s="6" t="n">
        <v>11516</v>
      </c>
      <c r="E15" s="6" t="n">
        <v>3271</v>
      </c>
      <c r="F15" s="6" t="n">
        <v>755</v>
      </c>
      <c r="G15" s="6" t="n">
        <v>6500</v>
      </c>
      <c r="H15" s="6" t="n">
        <v>1104</v>
      </c>
    </row>
    <row r="16" customFormat="false" ht="15" hidden="false" customHeight="false" outlineLevel="0" collapsed="false">
      <c r="A16" s="5" t="n">
        <v>2020</v>
      </c>
      <c r="B16" s="5" t="s">
        <v>21</v>
      </c>
      <c r="C16" s="5" t="n">
        <v>12</v>
      </c>
      <c r="D16" s="6" t="n">
        <v>12576</v>
      </c>
      <c r="E16" s="6" t="n">
        <v>3415</v>
      </c>
      <c r="F16" s="6" t="n">
        <v>854</v>
      </c>
      <c r="G16" s="6" t="n">
        <v>6042</v>
      </c>
      <c r="H16" s="6" t="n">
        <v>1111</v>
      </c>
    </row>
    <row r="17" customFormat="false" ht="15" hidden="false" customHeight="false" outlineLevel="0" collapsed="false">
      <c r="A17" s="7" t="n">
        <v>2021</v>
      </c>
      <c r="B17" s="7" t="s">
        <v>10</v>
      </c>
      <c r="C17" s="7" t="n">
        <v>1</v>
      </c>
      <c r="D17" s="8" t="n">
        <v>12184</v>
      </c>
      <c r="E17" s="8" t="n">
        <v>3369</v>
      </c>
      <c r="F17" s="8" t="n">
        <v>760</v>
      </c>
      <c r="G17" s="8" t="n">
        <v>6010</v>
      </c>
      <c r="H17" s="8" t="n">
        <v>1093</v>
      </c>
    </row>
    <row r="18" customFormat="false" ht="15" hidden="false" customHeight="false" outlineLevel="0" collapsed="false">
      <c r="A18" s="7" t="n">
        <v>2021</v>
      </c>
      <c r="B18" s="7" t="s">
        <v>11</v>
      </c>
      <c r="C18" s="7" t="n">
        <v>2</v>
      </c>
      <c r="D18" s="8" t="n">
        <v>11396</v>
      </c>
      <c r="E18" s="8" t="n">
        <v>3045</v>
      </c>
      <c r="F18" s="8" t="n">
        <v>673</v>
      </c>
      <c r="G18" s="8" t="n">
        <v>5472</v>
      </c>
      <c r="H18" s="8" t="n">
        <v>963</v>
      </c>
    </row>
    <row r="19" customFormat="false" ht="15" hidden="false" customHeight="false" outlineLevel="0" collapsed="false">
      <c r="A19" s="7" t="n">
        <v>2021</v>
      </c>
      <c r="B19" s="7" t="s">
        <v>12</v>
      </c>
      <c r="C19" s="7" t="n">
        <v>3</v>
      </c>
      <c r="D19" s="8" t="n">
        <v>11634</v>
      </c>
      <c r="E19" s="8" t="n">
        <v>3810</v>
      </c>
      <c r="F19" s="8" t="n">
        <v>862</v>
      </c>
      <c r="G19" s="8" t="n">
        <v>6115</v>
      </c>
      <c r="H19" s="8" t="n">
        <v>1146</v>
      </c>
    </row>
    <row r="20" customFormat="false" ht="15" hidden="false" customHeight="false" outlineLevel="0" collapsed="false">
      <c r="A20" s="7" t="n">
        <v>2021</v>
      </c>
      <c r="B20" s="7" t="s">
        <v>13</v>
      </c>
      <c r="C20" s="7" t="n">
        <v>4</v>
      </c>
      <c r="D20" s="8" t="n">
        <v>12373</v>
      </c>
      <c r="E20" s="8" t="n">
        <v>3914</v>
      </c>
      <c r="F20" s="8" t="n">
        <v>833</v>
      </c>
      <c r="G20" s="8" t="n">
        <v>6257</v>
      </c>
      <c r="H20" s="8" t="n">
        <v>1107</v>
      </c>
    </row>
    <row r="21" customFormat="false" ht="15" hidden="false" customHeight="false" outlineLevel="0" collapsed="false">
      <c r="A21" s="7" t="n">
        <v>2021</v>
      </c>
      <c r="B21" s="7" t="s">
        <v>14</v>
      </c>
      <c r="C21" s="7" t="n">
        <v>5</v>
      </c>
      <c r="D21" s="8" t="n">
        <v>13225</v>
      </c>
      <c r="E21" s="8" t="n">
        <v>3675</v>
      </c>
      <c r="F21" s="8" t="n">
        <v>885</v>
      </c>
      <c r="G21" s="8" t="n">
        <v>7197</v>
      </c>
      <c r="H21" s="8" t="n">
        <v>1181</v>
      </c>
    </row>
    <row r="22" customFormat="false" ht="15" hidden="false" customHeight="false" outlineLevel="0" collapsed="false">
      <c r="A22" s="7" t="n">
        <v>2021</v>
      </c>
      <c r="B22" s="7" t="s">
        <v>15</v>
      </c>
      <c r="C22" s="7" t="n">
        <v>6</v>
      </c>
      <c r="D22" s="8" t="n">
        <v>12877</v>
      </c>
      <c r="E22" s="8" t="n">
        <v>4245</v>
      </c>
      <c r="F22" s="8" t="n">
        <v>900</v>
      </c>
      <c r="G22" s="8" t="n">
        <v>6510</v>
      </c>
      <c r="H22" s="8" t="n">
        <v>1146</v>
      </c>
    </row>
    <row r="23" customFormat="false" ht="15" hidden="false" customHeight="false" outlineLevel="0" collapsed="false">
      <c r="A23" s="7" t="n">
        <v>2021</v>
      </c>
      <c r="B23" s="7" t="s">
        <v>16</v>
      </c>
      <c r="C23" s="7" t="n">
        <v>7</v>
      </c>
      <c r="D23" s="8" t="n">
        <v>13001</v>
      </c>
      <c r="E23" s="8" t="n">
        <v>4127</v>
      </c>
      <c r="F23" s="8" t="n">
        <v>968</v>
      </c>
      <c r="G23" s="8" t="n">
        <v>7075</v>
      </c>
      <c r="H23" s="8" t="n">
        <v>1182</v>
      </c>
    </row>
    <row r="24" customFormat="false" ht="15" hidden="false" customHeight="false" outlineLevel="0" collapsed="false">
      <c r="A24" s="7" t="n">
        <v>2021</v>
      </c>
      <c r="B24" s="7" t="s">
        <v>17</v>
      </c>
      <c r="C24" s="7" t="n">
        <v>8</v>
      </c>
      <c r="D24" s="8" t="n">
        <v>13856</v>
      </c>
      <c r="E24" s="8" t="n">
        <v>4447</v>
      </c>
      <c r="F24" s="8" t="n">
        <v>946</v>
      </c>
      <c r="G24" s="8" t="n">
        <v>7847</v>
      </c>
      <c r="H24" s="8" t="n">
        <v>1369</v>
      </c>
    </row>
    <row r="25" customFormat="false" ht="15" hidden="false" customHeight="false" outlineLevel="0" collapsed="false">
      <c r="A25" s="7" t="n">
        <v>2021</v>
      </c>
      <c r="B25" s="7" t="s">
        <v>18</v>
      </c>
      <c r="C25" s="7" t="n">
        <v>9</v>
      </c>
      <c r="D25" s="8" t="n">
        <v>12547</v>
      </c>
      <c r="E25" s="8" t="n">
        <v>4110</v>
      </c>
      <c r="F25" s="8" t="n">
        <v>934</v>
      </c>
      <c r="G25" s="8" t="n">
        <v>7074</v>
      </c>
      <c r="H25" s="8" t="n">
        <v>1201</v>
      </c>
    </row>
    <row r="26" customFormat="false" ht="15" hidden="false" customHeight="false" outlineLevel="0" collapsed="false">
      <c r="A26" s="7" t="n">
        <v>2021</v>
      </c>
      <c r="B26" s="7" t="s">
        <v>19</v>
      </c>
      <c r="C26" s="7" t="n">
        <v>10</v>
      </c>
      <c r="D26" s="8" t="n">
        <v>13392</v>
      </c>
      <c r="E26" s="8" t="n">
        <v>3582</v>
      </c>
      <c r="F26" s="8" t="n">
        <v>864</v>
      </c>
      <c r="G26" s="8" t="n">
        <v>6717</v>
      </c>
      <c r="H26" s="8" t="n">
        <v>1288</v>
      </c>
    </row>
    <row r="27" customFormat="false" ht="15" hidden="false" customHeight="false" outlineLevel="0" collapsed="false">
      <c r="A27" s="7" t="n">
        <v>2021</v>
      </c>
      <c r="B27" s="7" t="s">
        <v>20</v>
      </c>
      <c r="C27" s="7" t="n">
        <v>11</v>
      </c>
      <c r="D27" s="8" t="n">
        <v>13340</v>
      </c>
      <c r="E27" s="8" t="n">
        <v>3531</v>
      </c>
      <c r="F27" s="8" t="n">
        <v>839</v>
      </c>
      <c r="G27" s="8" t="n">
        <v>6167</v>
      </c>
      <c r="H27" s="8" t="n">
        <v>1230</v>
      </c>
    </row>
    <row r="28" customFormat="false" ht="15" hidden="false" customHeight="false" outlineLevel="0" collapsed="false">
      <c r="A28" s="7" t="n">
        <v>2021</v>
      </c>
      <c r="B28" s="7" t="s">
        <v>21</v>
      </c>
      <c r="C28" s="7" t="n">
        <v>12</v>
      </c>
      <c r="D28" s="8" t="n">
        <v>14009</v>
      </c>
      <c r="E28" s="8" t="n">
        <v>3733</v>
      </c>
      <c r="F28" s="8" t="n">
        <v>901</v>
      </c>
      <c r="G28" s="8" t="n">
        <v>6952</v>
      </c>
      <c r="H28" s="8" t="n">
        <v>1145</v>
      </c>
    </row>
    <row r="29" customFormat="false" ht="15" hidden="false" customHeight="false" outlineLevel="0" collapsed="false">
      <c r="A29" s="5" t="n">
        <v>2022</v>
      </c>
      <c r="B29" s="5" t="s">
        <v>10</v>
      </c>
      <c r="C29" s="5" t="n">
        <v>1</v>
      </c>
      <c r="D29" s="6" t="n">
        <v>11994</v>
      </c>
      <c r="E29" s="6" t="n">
        <v>3378</v>
      </c>
      <c r="F29" s="6" t="n">
        <v>802</v>
      </c>
      <c r="G29" s="6" t="n">
        <v>5976</v>
      </c>
      <c r="H29" s="6" t="n">
        <v>971</v>
      </c>
    </row>
    <row r="30" customFormat="false" ht="15" hidden="false" customHeight="false" outlineLevel="0" collapsed="false">
      <c r="A30" s="5" t="n">
        <v>2022</v>
      </c>
      <c r="B30" s="5" t="s">
        <v>11</v>
      </c>
      <c r="C30" s="5" t="n">
        <v>2</v>
      </c>
      <c r="D30" s="6" t="n">
        <v>10805</v>
      </c>
      <c r="E30" s="6" t="n">
        <v>2993</v>
      </c>
      <c r="F30" s="6" t="n">
        <v>792</v>
      </c>
      <c r="G30" s="6" t="n">
        <v>6092</v>
      </c>
      <c r="H30" s="6" t="n">
        <v>1073</v>
      </c>
    </row>
    <row r="31" customFormat="false" ht="15" hidden="false" customHeight="false" outlineLevel="0" collapsed="false">
      <c r="A31" s="5" t="n">
        <v>2022</v>
      </c>
      <c r="B31" s="5" t="s">
        <v>12</v>
      </c>
      <c r="C31" s="5" t="n">
        <v>3</v>
      </c>
      <c r="D31" s="6" t="n">
        <v>12043</v>
      </c>
      <c r="E31" s="6" t="n">
        <v>3368</v>
      </c>
      <c r="F31" s="6" t="n">
        <v>879</v>
      </c>
      <c r="G31" s="6" t="n">
        <v>6879</v>
      </c>
      <c r="H31" s="6" t="n">
        <v>1064</v>
      </c>
    </row>
    <row r="32" customFormat="false" ht="15" hidden="false" customHeight="false" outlineLevel="0" collapsed="false">
      <c r="A32" s="5" t="n">
        <v>2022</v>
      </c>
      <c r="B32" s="5" t="s">
        <v>13</v>
      </c>
      <c r="C32" s="5" t="n">
        <v>4</v>
      </c>
      <c r="D32" s="6" t="n">
        <v>12790</v>
      </c>
      <c r="E32" s="6" t="n">
        <v>3481</v>
      </c>
      <c r="F32" s="6" t="n">
        <v>890</v>
      </c>
      <c r="G32" s="6" t="n">
        <v>6905</v>
      </c>
      <c r="H32" s="6" t="n">
        <v>1105</v>
      </c>
    </row>
    <row r="33" customFormat="false" ht="15" hidden="false" customHeight="false" outlineLevel="0" collapsed="false">
      <c r="A33" s="5" t="n">
        <v>2022</v>
      </c>
      <c r="B33" s="5" t="s">
        <v>14</v>
      </c>
      <c r="C33" s="5" t="n">
        <v>5</v>
      </c>
      <c r="D33" s="6" t="n">
        <v>13289</v>
      </c>
      <c r="E33" s="6" t="n">
        <v>3922</v>
      </c>
      <c r="F33" s="6" t="n">
        <v>856</v>
      </c>
      <c r="G33" s="6" t="n">
        <v>7304</v>
      </c>
      <c r="H33" s="6" t="n">
        <v>1208</v>
      </c>
    </row>
    <row r="34" customFormat="false" ht="15" hidden="false" customHeight="false" outlineLevel="0" collapsed="false">
      <c r="A34" s="5" t="n">
        <v>2022</v>
      </c>
      <c r="B34" s="5" t="s">
        <v>15</v>
      </c>
      <c r="C34" s="5" t="n">
        <v>6</v>
      </c>
      <c r="D34" s="6" t="n">
        <v>13101</v>
      </c>
      <c r="E34" s="6" t="n">
        <v>4031</v>
      </c>
      <c r="F34" s="6" t="n">
        <v>949</v>
      </c>
      <c r="G34" s="6" t="n">
        <v>6757</v>
      </c>
      <c r="H34" s="6" t="n">
        <v>1221</v>
      </c>
    </row>
    <row r="35" customFormat="false" ht="15" hidden="false" customHeight="false" outlineLevel="0" collapsed="false">
      <c r="A35" s="5" t="n">
        <v>2022</v>
      </c>
      <c r="B35" s="5" t="s">
        <v>16</v>
      </c>
      <c r="C35" s="5" t="n">
        <v>7</v>
      </c>
      <c r="D35" s="6" t="n">
        <v>15246</v>
      </c>
      <c r="E35" s="6" t="n">
        <v>4219</v>
      </c>
      <c r="F35" s="6" t="n">
        <v>932</v>
      </c>
      <c r="G35" s="6" t="n">
        <v>7319</v>
      </c>
      <c r="H35" s="6" t="n">
        <v>1216</v>
      </c>
    </row>
    <row r="36" customFormat="false" ht="15" hidden="false" customHeight="false" outlineLevel="0" collapsed="false">
      <c r="A36" s="5" t="n">
        <v>2022</v>
      </c>
      <c r="B36" s="5" t="s">
        <v>17</v>
      </c>
      <c r="C36" s="5" t="n">
        <v>8</v>
      </c>
      <c r="D36" s="6" t="n">
        <v>13754</v>
      </c>
      <c r="E36" s="6" t="n">
        <v>4088</v>
      </c>
      <c r="F36" s="6" t="n">
        <v>973</v>
      </c>
      <c r="G36" s="6" t="n">
        <v>7113</v>
      </c>
      <c r="H36" s="6" t="n">
        <v>1260</v>
      </c>
    </row>
    <row r="37" customFormat="false" ht="15" hidden="false" customHeight="false" outlineLevel="0" collapsed="false">
      <c r="A37" s="5" t="n">
        <v>2022</v>
      </c>
      <c r="B37" s="5" t="s">
        <v>18</v>
      </c>
      <c r="C37" s="5" t="n">
        <v>9</v>
      </c>
      <c r="D37" s="6" t="n">
        <v>12913</v>
      </c>
      <c r="E37" s="6" t="n">
        <v>4129</v>
      </c>
      <c r="F37" s="6" t="n">
        <v>884</v>
      </c>
      <c r="G37" s="6" t="n">
        <v>7628</v>
      </c>
      <c r="H37" s="6" t="n">
        <v>1344</v>
      </c>
    </row>
    <row r="38" customFormat="false" ht="15" hidden="false" customHeight="false" outlineLevel="0" collapsed="false">
      <c r="A38" s="5" t="n">
        <v>2022</v>
      </c>
      <c r="B38" s="5" t="s">
        <v>19</v>
      </c>
      <c r="C38" s="5" t="n">
        <v>10</v>
      </c>
      <c r="D38" s="6" t="n">
        <v>12426</v>
      </c>
      <c r="E38" s="6" t="n">
        <v>3728</v>
      </c>
      <c r="F38" s="6" t="n">
        <v>913</v>
      </c>
      <c r="G38" s="6" t="n">
        <v>6578</v>
      </c>
      <c r="H38" s="6" t="n">
        <v>1151</v>
      </c>
    </row>
    <row r="39" customFormat="false" ht="15" hidden="false" customHeight="false" outlineLevel="0" collapsed="false">
      <c r="A39" s="5" t="n">
        <v>2022</v>
      </c>
      <c r="B39" s="5" t="s">
        <v>20</v>
      </c>
      <c r="C39" s="5" t="n">
        <v>11</v>
      </c>
      <c r="D39" s="6" t="n">
        <v>13712</v>
      </c>
      <c r="E39" s="6" t="n">
        <v>3781</v>
      </c>
      <c r="F39" s="6" t="n">
        <v>851</v>
      </c>
      <c r="G39" s="6" t="n">
        <v>6924</v>
      </c>
      <c r="H39" s="6" t="n">
        <v>1233</v>
      </c>
    </row>
    <row r="40" customFormat="false" ht="15" hidden="false" customHeight="false" outlineLevel="0" collapsed="false">
      <c r="A40" s="5" t="n">
        <v>2022</v>
      </c>
      <c r="B40" s="5" t="s">
        <v>21</v>
      </c>
      <c r="C40" s="5" t="n">
        <v>12</v>
      </c>
      <c r="D40" s="6" t="n">
        <v>12805</v>
      </c>
      <c r="E40" s="6" t="n">
        <v>3676</v>
      </c>
      <c r="F40" s="6" t="n">
        <v>888</v>
      </c>
      <c r="G40" s="6" t="n">
        <v>6876</v>
      </c>
      <c r="H40" s="6" t="n">
        <v>1228</v>
      </c>
    </row>
    <row r="41" customFormat="false" ht="15" hidden="false" customHeight="false" outlineLevel="0" collapsed="false">
      <c r="A41" s="7" t="n">
        <v>2023</v>
      </c>
      <c r="B41" s="7" t="s">
        <v>10</v>
      </c>
      <c r="C41" s="7" t="n">
        <v>1</v>
      </c>
      <c r="D41" s="8" t="n">
        <v>12151</v>
      </c>
      <c r="E41" s="8" t="n">
        <v>3514</v>
      </c>
      <c r="F41" s="8" t="n">
        <v>842</v>
      </c>
      <c r="G41" s="8" t="n">
        <v>5667</v>
      </c>
      <c r="H41" s="8" t="n">
        <v>1058</v>
      </c>
    </row>
    <row r="42" customFormat="false" ht="15" hidden="false" customHeight="false" outlineLevel="0" collapsed="false">
      <c r="A42" s="7" t="n">
        <v>2023</v>
      </c>
      <c r="B42" s="7" t="s">
        <v>11</v>
      </c>
      <c r="C42" s="7" t="n">
        <v>2</v>
      </c>
      <c r="D42" s="8" t="n">
        <v>11031</v>
      </c>
      <c r="E42" s="8" t="n">
        <v>3493</v>
      </c>
      <c r="F42" s="8" t="n">
        <v>724</v>
      </c>
      <c r="G42" s="8" t="n">
        <v>5560</v>
      </c>
      <c r="H42" s="8" t="n">
        <v>1029</v>
      </c>
    </row>
    <row r="43" customFormat="false" ht="15" hidden="false" customHeight="false" outlineLevel="0" collapsed="false">
      <c r="A43" s="7" t="n">
        <v>2023</v>
      </c>
      <c r="B43" s="7" t="s">
        <v>12</v>
      </c>
      <c r="C43" s="7" t="n">
        <v>3</v>
      </c>
      <c r="D43" s="8" t="n">
        <v>12496</v>
      </c>
      <c r="E43" s="8" t="n">
        <v>3560</v>
      </c>
      <c r="F43" s="8" t="n">
        <v>810</v>
      </c>
      <c r="G43" s="8" t="n">
        <v>6981</v>
      </c>
      <c r="H43" s="8" t="n">
        <v>1149</v>
      </c>
    </row>
    <row r="44" customFormat="false" ht="15" hidden="false" customHeight="false" outlineLevel="0" collapsed="false">
      <c r="A44" s="7" t="n">
        <v>2023</v>
      </c>
      <c r="B44" s="7" t="s">
        <v>13</v>
      </c>
      <c r="C44" s="7" t="n">
        <v>4</v>
      </c>
      <c r="D44" s="8" t="n">
        <v>13808</v>
      </c>
      <c r="E44" s="8" t="n">
        <v>3838</v>
      </c>
      <c r="F44" s="8" t="n">
        <v>808</v>
      </c>
      <c r="G44" s="8" t="n">
        <v>7283</v>
      </c>
      <c r="H44" s="8" t="n">
        <v>1261</v>
      </c>
    </row>
    <row r="45" customFormat="false" ht="15" hidden="false" customHeight="false" outlineLevel="0" collapsed="false">
      <c r="A45" s="7" t="n">
        <v>2023</v>
      </c>
      <c r="B45" s="7" t="s">
        <v>14</v>
      </c>
      <c r="C45" s="7" t="n">
        <v>5</v>
      </c>
      <c r="D45" s="8" t="n">
        <v>14606</v>
      </c>
      <c r="E45" s="8" t="n">
        <v>4233</v>
      </c>
      <c r="F45" s="8" t="n">
        <v>956</v>
      </c>
      <c r="G45" s="8" t="n">
        <v>6645</v>
      </c>
      <c r="H45" s="8" t="n">
        <v>1243</v>
      </c>
    </row>
    <row r="46" customFormat="false" ht="15" hidden="false" customHeight="false" outlineLevel="0" collapsed="false">
      <c r="A46" s="7" t="n">
        <v>2023</v>
      </c>
      <c r="B46" s="7" t="s">
        <v>15</v>
      </c>
      <c r="C46" s="7" t="n">
        <v>6</v>
      </c>
      <c r="D46" s="8" t="n">
        <v>13345</v>
      </c>
      <c r="E46" s="8" t="n">
        <v>4015</v>
      </c>
      <c r="F46" s="8" t="n">
        <v>867</v>
      </c>
      <c r="G46" s="8" t="n">
        <v>7086</v>
      </c>
      <c r="H46" s="8" t="n">
        <v>1382</v>
      </c>
    </row>
    <row r="47" customFormat="false" ht="15" hidden="false" customHeight="false" outlineLevel="0" collapsed="false">
      <c r="A47" s="7" t="n">
        <v>2023</v>
      </c>
      <c r="B47" s="7" t="s">
        <v>16</v>
      </c>
      <c r="C47" s="7" t="n">
        <v>7</v>
      </c>
      <c r="D47" s="8" t="n">
        <v>13845</v>
      </c>
      <c r="E47" s="8" t="n">
        <v>4387</v>
      </c>
      <c r="F47" s="8" t="n">
        <v>952</v>
      </c>
      <c r="G47" s="8" t="n">
        <v>7341</v>
      </c>
      <c r="H47" s="8" t="n">
        <v>1415</v>
      </c>
    </row>
    <row r="48" customFormat="false" ht="15" hidden="false" customHeight="false" outlineLevel="0" collapsed="false">
      <c r="A48" s="7" t="n">
        <v>2023</v>
      </c>
      <c r="B48" s="7" t="s">
        <v>17</v>
      </c>
      <c r="C48" s="7" t="n">
        <v>8</v>
      </c>
      <c r="D48" s="8" t="n">
        <v>15813</v>
      </c>
      <c r="E48" s="8" t="n">
        <v>4312</v>
      </c>
      <c r="F48" s="8" t="n">
        <v>1011</v>
      </c>
      <c r="G48" s="8" t="n">
        <v>7152</v>
      </c>
      <c r="H48" s="8" t="n">
        <v>1299</v>
      </c>
    </row>
    <row r="49" customFormat="false" ht="15" hidden="false" customHeight="false" outlineLevel="0" collapsed="false">
      <c r="A49" s="7" t="n">
        <v>2023</v>
      </c>
      <c r="B49" s="7" t="s">
        <v>18</v>
      </c>
      <c r="C49" s="7" t="n">
        <v>9</v>
      </c>
      <c r="D49" s="8" t="n">
        <v>15178</v>
      </c>
      <c r="E49" s="8" t="n">
        <v>4170</v>
      </c>
      <c r="F49" s="8" t="n">
        <v>948</v>
      </c>
      <c r="G49" s="8" t="n">
        <v>7584</v>
      </c>
      <c r="H49" s="8" t="n">
        <v>1203</v>
      </c>
    </row>
    <row r="50" customFormat="false" ht="15" hidden="false" customHeight="false" outlineLevel="0" collapsed="false">
      <c r="A50" s="7" t="n">
        <v>2023</v>
      </c>
      <c r="B50" s="7" t="s">
        <v>19</v>
      </c>
      <c r="C50" s="7" t="n">
        <v>10</v>
      </c>
      <c r="D50" s="8" t="n">
        <v>13769</v>
      </c>
      <c r="E50" s="8" t="n">
        <v>3965</v>
      </c>
      <c r="F50" s="8" t="n">
        <v>957</v>
      </c>
      <c r="G50" s="8" t="n">
        <v>6635</v>
      </c>
      <c r="H50" s="8" t="n">
        <v>1337</v>
      </c>
    </row>
    <row r="51" customFormat="false" ht="15" hidden="false" customHeight="false" outlineLevel="0" collapsed="false">
      <c r="A51" s="7" t="n">
        <v>2023</v>
      </c>
      <c r="B51" s="7" t="s">
        <v>20</v>
      </c>
      <c r="C51" s="7" t="n">
        <v>11</v>
      </c>
      <c r="D51" s="8" t="n">
        <v>12177</v>
      </c>
      <c r="E51" s="8" t="n">
        <v>3616</v>
      </c>
      <c r="F51" s="8" t="n">
        <v>883</v>
      </c>
      <c r="G51" s="8" t="n">
        <v>6933</v>
      </c>
      <c r="H51" s="8" t="n">
        <v>1146</v>
      </c>
    </row>
    <row r="52" customFormat="false" ht="15" hidden="false" customHeight="false" outlineLevel="0" collapsed="false">
      <c r="A52" s="7" t="n">
        <v>2023</v>
      </c>
      <c r="B52" s="7" t="s">
        <v>21</v>
      </c>
      <c r="C52" s="7" t="n">
        <v>12</v>
      </c>
      <c r="D52" s="8" t="n">
        <v>12885</v>
      </c>
      <c r="E52" s="8" t="n">
        <v>4251</v>
      </c>
      <c r="F52" s="8" t="n">
        <v>878</v>
      </c>
      <c r="G52" s="8" t="n">
        <v>7196</v>
      </c>
      <c r="H52" s="8" t="n">
        <v>1282</v>
      </c>
    </row>
    <row r="53" customFormat="false" ht="15" hidden="false" customHeight="false" outlineLevel="0" collapsed="false">
      <c r="A53" s="5" t="n">
        <v>2024</v>
      </c>
      <c r="B53" s="5" t="s">
        <v>10</v>
      </c>
      <c r="C53" s="5" t="n">
        <v>1</v>
      </c>
      <c r="D53" s="6" t="n">
        <v>11257</v>
      </c>
      <c r="E53" s="6" t="n">
        <v>3371</v>
      </c>
      <c r="F53" s="6" t="n">
        <v>763</v>
      </c>
      <c r="G53" s="6" t="n">
        <v>6302</v>
      </c>
      <c r="H53" s="6" t="n">
        <v>996</v>
      </c>
    </row>
    <row r="54" customFormat="false" ht="15" hidden="false" customHeight="false" outlineLevel="0" collapsed="false">
      <c r="A54" s="5" t="n">
        <v>2024</v>
      </c>
      <c r="B54" s="5" t="s">
        <v>11</v>
      </c>
      <c r="C54" s="5" t="n">
        <v>2</v>
      </c>
      <c r="D54" s="6" t="n">
        <v>11397</v>
      </c>
      <c r="E54" s="6" t="n">
        <v>3079</v>
      </c>
      <c r="F54" s="6" t="n">
        <v>722</v>
      </c>
      <c r="G54" s="6" t="n">
        <v>5848</v>
      </c>
      <c r="H54" s="6" t="n">
        <v>977</v>
      </c>
    </row>
    <row r="55" customFormat="false" ht="15" hidden="false" customHeight="false" outlineLevel="0" collapsed="false">
      <c r="A55" s="5" t="n">
        <v>2024</v>
      </c>
      <c r="B55" s="5" t="s">
        <v>12</v>
      </c>
      <c r="C55" s="5" t="n">
        <v>3</v>
      </c>
      <c r="D55" s="6" t="n">
        <v>11950</v>
      </c>
      <c r="E55" s="6" t="n">
        <v>3736</v>
      </c>
      <c r="F55" s="6" t="n">
        <v>765</v>
      </c>
      <c r="G55" s="6" t="n">
        <v>6319</v>
      </c>
      <c r="H55" s="6" t="n">
        <v>1219</v>
      </c>
    </row>
    <row r="56" customFormat="false" ht="15" hidden="false" customHeight="false" outlineLevel="0" collapsed="false">
      <c r="A56" s="5" t="n">
        <v>2024</v>
      </c>
      <c r="B56" s="5" t="s">
        <v>13</v>
      </c>
      <c r="C56" s="5" t="n">
        <v>4</v>
      </c>
      <c r="D56" s="6" t="n">
        <v>13709</v>
      </c>
      <c r="E56" s="6" t="n">
        <v>3451</v>
      </c>
      <c r="F56" s="6" t="n">
        <v>808</v>
      </c>
      <c r="G56" s="6" t="n">
        <v>6316</v>
      </c>
      <c r="H56" s="6" t="n">
        <v>1245</v>
      </c>
    </row>
    <row r="57" customFormat="false" ht="15" hidden="false" customHeight="false" outlineLevel="0" collapsed="false">
      <c r="A57" s="5" t="n">
        <v>2024</v>
      </c>
      <c r="B57" s="5" t="s">
        <v>14</v>
      </c>
      <c r="C57" s="5" t="n">
        <v>5</v>
      </c>
      <c r="D57" s="6" t="n">
        <v>14025</v>
      </c>
      <c r="E57" s="6" t="n">
        <v>4090</v>
      </c>
      <c r="F57" s="6" t="n">
        <v>863</v>
      </c>
      <c r="G57" s="6" t="n">
        <v>6456</v>
      </c>
      <c r="H57" s="6" t="n">
        <v>1276</v>
      </c>
    </row>
    <row r="58" customFormat="false" ht="15" hidden="false" customHeight="false" outlineLevel="0" collapsed="false">
      <c r="A58" s="5" t="n">
        <v>2024</v>
      </c>
      <c r="B58" s="5" t="s">
        <v>15</v>
      </c>
      <c r="C58" s="5" t="n">
        <v>6</v>
      </c>
      <c r="D58" s="6" t="n">
        <v>14051</v>
      </c>
      <c r="E58" s="6" t="n">
        <v>4040</v>
      </c>
      <c r="F58" s="6" t="n">
        <v>978</v>
      </c>
      <c r="G58" s="6" t="n">
        <v>7204</v>
      </c>
      <c r="H58" s="6" t="n">
        <v>1149</v>
      </c>
    </row>
    <row r="59" customFormat="false" ht="15" hidden="false" customHeight="false" outlineLevel="0" collapsed="false">
      <c r="A59" s="5" t="n">
        <v>2024</v>
      </c>
      <c r="B59" s="5" t="s">
        <v>16</v>
      </c>
      <c r="C59" s="5" t="n">
        <v>7</v>
      </c>
      <c r="D59" s="6" t="n">
        <v>14707</v>
      </c>
      <c r="E59" s="6" t="n">
        <v>3951</v>
      </c>
      <c r="F59" s="6" t="n">
        <v>958</v>
      </c>
      <c r="G59" s="6" t="n">
        <v>7740</v>
      </c>
      <c r="H59" s="6" t="n">
        <v>1208</v>
      </c>
    </row>
    <row r="60" customFormat="false" ht="15" hidden="false" customHeight="false" outlineLevel="0" collapsed="false">
      <c r="A60" s="5" t="n">
        <v>2024</v>
      </c>
      <c r="B60" s="5" t="s">
        <v>17</v>
      </c>
      <c r="C60" s="5" t="n">
        <v>8</v>
      </c>
      <c r="D60" s="6" t="n">
        <v>13379</v>
      </c>
      <c r="E60" s="6" t="n">
        <v>3897</v>
      </c>
      <c r="F60" s="6" t="n">
        <v>958</v>
      </c>
      <c r="G60" s="6" t="n">
        <v>7097</v>
      </c>
      <c r="H60" s="6" t="n">
        <v>1329</v>
      </c>
    </row>
    <row r="61" customFormat="false" ht="15" hidden="false" customHeight="false" outlineLevel="0" collapsed="false">
      <c r="A61" s="5" t="n">
        <v>2024</v>
      </c>
      <c r="B61" s="5" t="s">
        <v>18</v>
      </c>
      <c r="C61" s="5" t="n">
        <v>9</v>
      </c>
      <c r="D61" s="6" t="n">
        <v>14216</v>
      </c>
      <c r="E61" s="6" t="n">
        <v>3817</v>
      </c>
      <c r="F61" s="6" t="n">
        <v>936</v>
      </c>
      <c r="G61" s="6" t="n">
        <v>6830</v>
      </c>
      <c r="H61" s="6" t="n">
        <v>1257</v>
      </c>
    </row>
    <row r="62" customFormat="false" ht="15" hidden="false" customHeight="false" outlineLevel="0" collapsed="false">
      <c r="A62" s="5" t="n">
        <v>2024</v>
      </c>
      <c r="B62" s="5" t="s">
        <v>19</v>
      </c>
      <c r="C62" s="5" t="n">
        <v>10</v>
      </c>
      <c r="D62" s="6" t="n">
        <v>14077</v>
      </c>
      <c r="E62" s="6" t="n">
        <v>4069</v>
      </c>
      <c r="F62" s="6" t="n">
        <v>824</v>
      </c>
      <c r="G62" s="6" t="n">
        <v>6746</v>
      </c>
      <c r="H62" s="6" t="n">
        <v>1168</v>
      </c>
    </row>
    <row r="63" customFormat="false" ht="15" hidden="false" customHeight="false" outlineLevel="0" collapsed="false">
      <c r="A63" s="5" t="n">
        <v>2024</v>
      </c>
      <c r="B63" s="5" t="s">
        <v>20</v>
      </c>
      <c r="C63" s="5" t="n">
        <v>11</v>
      </c>
      <c r="D63" s="6" t="n">
        <v>11692</v>
      </c>
      <c r="E63" s="6" t="n">
        <v>3865</v>
      </c>
      <c r="F63" s="6" t="n">
        <v>865</v>
      </c>
      <c r="G63" s="6" t="n">
        <v>6312</v>
      </c>
      <c r="H63" s="6" t="n">
        <v>1209</v>
      </c>
    </row>
    <row r="64" customFormat="false" ht="15" hidden="false" customHeight="false" outlineLevel="0" collapsed="false">
      <c r="A64" s="5" t="n">
        <v>2024</v>
      </c>
      <c r="B64" s="5" t="s">
        <v>21</v>
      </c>
      <c r="C64" s="5" t="n">
        <v>12</v>
      </c>
      <c r="D64" s="6" t="n">
        <v>13459</v>
      </c>
      <c r="E64" s="6" t="n">
        <v>3848</v>
      </c>
      <c r="F64" s="6" t="n">
        <v>820</v>
      </c>
      <c r="G64" s="6" t="n">
        <v>6428</v>
      </c>
      <c r="H64" s="6" t="n">
        <v>1299</v>
      </c>
    </row>
    <row r="65" customFormat="false" ht="15" hidden="false" customHeight="false" outlineLevel="0" collapsed="false">
      <c r="A65" s="9" t="s">
        <v>22</v>
      </c>
      <c r="B65" s="9"/>
      <c r="C65" s="9"/>
      <c r="D65" s="10" t="n">
        <f aca="false">SUM(D5:D64)</f>
        <v>772713</v>
      </c>
      <c r="E65" s="10" t="n">
        <f aca="false">SUM(E5:E64)</f>
        <v>224122</v>
      </c>
      <c r="F65" s="10" t="n">
        <f aca="false">SUM(F5:F64)</f>
        <v>51235</v>
      </c>
      <c r="G65" s="10" t="n">
        <f aca="false">SUM(G5:G64)</f>
        <v>398425</v>
      </c>
      <c r="H65" s="10" t="n">
        <f aca="false">SUM(H5:H64)</f>
        <v>70363</v>
      </c>
    </row>
  </sheetData>
  <mergeCells count="3">
    <mergeCell ref="A1:C1"/>
    <mergeCell ref="A2:C2"/>
    <mergeCell ref="A65:C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8" min="4" style="0" width="22"/>
  </cols>
  <sheetData>
    <row r="1" customFormat="false" ht="27.75" hidden="false" customHeight="true" outlineLevel="0" collapsed="false">
      <c r="A1" s="1" t="s">
        <v>23</v>
      </c>
      <c r="B1" s="1"/>
      <c r="C1" s="1"/>
    </row>
    <row r="2" customFormat="false" ht="15" hidden="false" customHeight="false" outlineLevel="0" collapsed="false">
      <c r="A2" s="2" t="s">
        <v>24</v>
      </c>
      <c r="B2" s="2"/>
      <c r="C2" s="2"/>
    </row>
    <row r="4" customFormat="false" ht="51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customFormat="false" ht="15" hidden="false" customHeight="false" outlineLevel="0" collapsed="false">
      <c r="A5" s="5" t="n">
        <v>2020</v>
      </c>
      <c r="B5" s="5" t="s">
        <v>10</v>
      </c>
      <c r="C5" s="5" t="n">
        <v>1</v>
      </c>
      <c r="D5" s="11" t="n">
        <f aca="false">'Ventas Mensuales'!D5*4.8</f>
        <v>51820.8</v>
      </c>
      <c r="E5" s="11" t="n">
        <f aca="false">'Ventas Mensuales'!E5*38.5</f>
        <v>109571</v>
      </c>
      <c r="F5" s="11" t="n">
        <f aca="false">'Ventas Mensuales'!F5*95</f>
        <v>64505</v>
      </c>
      <c r="G5" s="11" t="n">
        <f aca="false">'Ventas Mensuales'!G5*12.3</f>
        <v>64132.2</v>
      </c>
      <c r="H5" s="11" t="n">
        <f aca="false">'Ventas Mensuales'!H5*48</f>
        <v>48240</v>
      </c>
    </row>
    <row r="6" customFormat="false" ht="15" hidden="false" customHeight="false" outlineLevel="0" collapsed="false">
      <c r="A6" s="5" t="n">
        <v>2020</v>
      </c>
      <c r="B6" s="5" t="s">
        <v>11</v>
      </c>
      <c r="C6" s="5" t="n">
        <v>2</v>
      </c>
      <c r="D6" s="11" t="n">
        <f aca="false">'Ventas Mensuales'!D6*4.8</f>
        <v>50342.4</v>
      </c>
      <c r="E6" s="11" t="n">
        <f aca="false">'Ventas Mensuales'!E6*38.5</f>
        <v>121737</v>
      </c>
      <c r="F6" s="11" t="n">
        <f aca="false">'Ventas Mensuales'!F6*95</f>
        <v>60325</v>
      </c>
      <c r="G6" s="11" t="n">
        <f aca="false">'Ventas Mensuales'!G6*12.3</f>
        <v>64009.2</v>
      </c>
      <c r="H6" s="11" t="n">
        <f aca="false">'Ventas Mensuales'!H6*48</f>
        <v>41520</v>
      </c>
    </row>
    <row r="7" customFormat="false" ht="15" hidden="false" customHeight="false" outlineLevel="0" collapsed="false">
      <c r="A7" s="5" t="n">
        <v>2020</v>
      </c>
      <c r="B7" s="5" t="s">
        <v>12</v>
      </c>
      <c r="C7" s="5" t="n">
        <v>3</v>
      </c>
      <c r="D7" s="11" t="n">
        <f aca="false">'Ventas Mensuales'!D7*4.8</f>
        <v>52257.6</v>
      </c>
      <c r="E7" s="11" t="n">
        <f aca="false">'Ventas Mensuales'!E7*38.5</f>
        <v>128128</v>
      </c>
      <c r="F7" s="11" t="n">
        <f aca="false">'Ventas Mensuales'!F7*95</f>
        <v>66690</v>
      </c>
      <c r="G7" s="11" t="n">
        <f aca="false">'Ventas Mensuales'!G7*12.3</f>
        <v>68953.8</v>
      </c>
      <c r="H7" s="11" t="n">
        <f aca="false">'Ventas Mensuales'!H7*48</f>
        <v>51360</v>
      </c>
    </row>
    <row r="8" customFormat="false" ht="15" hidden="false" customHeight="false" outlineLevel="0" collapsed="false">
      <c r="A8" s="5" t="n">
        <v>2020</v>
      </c>
      <c r="B8" s="5" t="s">
        <v>13</v>
      </c>
      <c r="C8" s="5" t="n">
        <v>4</v>
      </c>
      <c r="D8" s="11" t="n">
        <f aca="false">'Ventas Mensuales'!D8*4.8</f>
        <v>56856</v>
      </c>
      <c r="E8" s="11" t="n">
        <f aca="false">'Ventas Mensuales'!E8*38.5</f>
        <v>126164.5</v>
      </c>
      <c r="F8" s="11" t="n">
        <f aca="false">'Ventas Mensuales'!F8*95</f>
        <v>75525</v>
      </c>
      <c r="G8" s="11" t="n">
        <f aca="false">'Ventas Mensuales'!G8*12.3</f>
        <v>78437.1</v>
      </c>
      <c r="H8" s="11" t="n">
        <f aca="false">'Ventas Mensuales'!H8*48</f>
        <v>47664</v>
      </c>
    </row>
    <row r="9" customFormat="false" ht="15" hidden="false" customHeight="false" outlineLevel="0" collapsed="false">
      <c r="A9" s="5" t="n">
        <v>2020</v>
      </c>
      <c r="B9" s="5" t="s">
        <v>14</v>
      </c>
      <c r="C9" s="5" t="n">
        <v>5</v>
      </c>
      <c r="D9" s="11" t="n">
        <f aca="false">'Ventas Mensuales'!D9*4.8</f>
        <v>61627.2</v>
      </c>
      <c r="E9" s="11" t="n">
        <f aca="false">'Ventas Mensuales'!E9*38.5</f>
        <v>141795.5</v>
      </c>
      <c r="F9" s="11" t="n">
        <f aca="false">'Ventas Mensuales'!F9*95</f>
        <v>75525</v>
      </c>
      <c r="G9" s="11" t="n">
        <f aca="false">'Ventas Mensuales'!G9*12.3</f>
        <v>73492.5</v>
      </c>
      <c r="H9" s="11" t="n">
        <f aca="false">'Ventas Mensuales'!H9*48</f>
        <v>57792</v>
      </c>
    </row>
    <row r="10" customFormat="false" ht="15" hidden="false" customHeight="false" outlineLevel="0" collapsed="false">
      <c r="A10" s="5" t="n">
        <v>2020</v>
      </c>
      <c r="B10" s="5" t="s">
        <v>15</v>
      </c>
      <c r="C10" s="5" t="n">
        <v>6</v>
      </c>
      <c r="D10" s="11" t="n">
        <f aca="false">'Ventas Mensuales'!D10*4.8</f>
        <v>58900.8</v>
      </c>
      <c r="E10" s="11" t="n">
        <f aca="false">'Ventas Mensuales'!E10*38.5</f>
        <v>132286</v>
      </c>
      <c r="F10" s="11" t="n">
        <f aca="false">'Ventas Mensuales'!F10*95</f>
        <v>74670</v>
      </c>
      <c r="G10" s="11" t="n">
        <f aca="false">'Ventas Mensuales'!G10*12.3</f>
        <v>84525.6</v>
      </c>
      <c r="H10" s="11" t="n">
        <f aca="false">'Ventas Mensuales'!H10*48</f>
        <v>56352</v>
      </c>
    </row>
    <row r="11" customFormat="false" ht="15" hidden="false" customHeight="false" outlineLevel="0" collapsed="false">
      <c r="A11" s="5" t="n">
        <v>2020</v>
      </c>
      <c r="B11" s="5" t="s">
        <v>16</v>
      </c>
      <c r="C11" s="5" t="n">
        <v>7</v>
      </c>
      <c r="D11" s="11" t="n">
        <f aca="false">'Ventas Mensuales'!D11*4.8</f>
        <v>65265.6</v>
      </c>
      <c r="E11" s="11" t="n">
        <f aca="false">'Ventas Mensuales'!E11*38.5</f>
        <v>150881.5</v>
      </c>
      <c r="F11" s="11" t="n">
        <f aca="false">'Ventas Mensuales'!F11*95</f>
        <v>82555</v>
      </c>
      <c r="G11" s="11" t="n">
        <f aca="false">'Ventas Mensuales'!G11*12.3</f>
        <v>88596.9</v>
      </c>
      <c r="H11" s="11" t="n">
        <f aca="false">'Ventas Mensuales'!H11*48</f>
        <v>55920</v>
      </c>
    </row>
    <row r="12" customFormat="false" ht="15" hidden="false" customHeight="false" outlineLevel="0" collapsed="false">
      <c r="A12" s="5" t="n">
        <v>2020</v>
      </c>
      <c r="B12" s="5" t="s">
        <v>17</v>
      </c>
      <c r="C12" s="5" t="n">
        <v>8</v>
      </c>
      <c r="D12" s="11" t="n">
        <f aca="false">'Ventas Mensuales'!D12*4.8</f>
        <v>63888</v>
      </c>
      <c r="E12" s="11" t="n">
        <f aca="false">'Ventas Mensuales'!E12*38.5</f>
        <v>156040.5</v>
      </c>
      <c r="F12" s="11" t="n">
        <f aca="false">'Ventas Mensuales'!F12*95</f>
        <v>85215</v>
      </c>
      <c r="G12" s="11" t="n">
        <f aca="false">'Ventas Mensuales'!G12*12.3</f>
        <v>88744.5</v>
      </c>
      <c r="H12" s="11" t="n">
        <f aca="false">'Ventas Mensuales'!H12*48</f>
        <v>58800</v>
      </c>
    </row>
    <row r="13" customFormat="false" ht="15" hidden="false" customHeight="false" outlineLevel="0" collapsed="false">
      <c r="A13" s="5" t="n">
        <v>2020</v>
      </c>
      <c r="B13" s="5" t="s">
        <v>18</v>
      </c>
      <c r="C13" s="5" t="n">
        <v>9</v>
      </c>
      <c r="D13" s="11" t="n">
        <f aca="false">'Ventas Mensuales'!D13*4.8</f>
        <v>63052.8</v>
      </c>
      <c r="E13" s="11" t="n">
        <f aca="false">'Ventas Mensuales'!E13*38.5</f>
        <v>132440</v>
      </c>
      <c r="F13" s="11" t="n">
        <f aca="false">'Ventas Mensuales'!F13*95</f>
        <v>77045</v>
      </c>
      <c r="G13" s="11" t="n">
        <f aca="false">'Ventas Mensuales'!G13*12.3</f>
        <v>78117.3</v>
      </c>
      <c r="H13" s="11" t="n">
        <f aca="false">'Ventas Mensuales'!H13*48</f>
        <v>52224</v>
      </c>
    </row>
    <row r="14" customFormat="false" ht="15" hidden="false" customHeight="false" outlineLevel="0" collapsed="false">
      <c r="A14" s="5" t="n">
        <v>2020</v>
      </c>
      <c r="B14" s="5" t="s">
        <v>19</v>
      </c>
      <c r="C14" s="5" t="n">
        <v>10</v>
      </c>
      <c r="D14" s="11" t="n">
        <f aca="false">'Ventas Mensuales'!D14*4.8</f>
        <v>56241.6</v>
      </c>
      <c r="E14" s="11" t="n">
        <f aca="false">'Ventas Mensuales'!E14*38.5</f>
        <v>128667</v>
      </c>
      <c r="F14" s="11" t="n">
        <f aca="false">'Ventas Mensuales'!F14*95</f>
        <v>74765</v>
      </c>
      <c r="G14" s="11" t="n">
        <f aca="false">'Ventas Mensuales'!G14*12.3</f>
        <v>79470.3</v>
      </c>
      <c r="H14" s="11" t="n">
        <f aca="false">'Ventas Mensuales'!H14*48</f>
        <v>52704</v>
      </c>
    </row>
    <row r="15" customFormat="false" ht="15" hidden="false" customHeight="false" outlineLevel="0" collapsed="false">
      <c r="A15" s="5" t="n">
        <v>2020</v>
      </c>
      <c r="B15" s="5" t="s">
        <v>20</v>
      </c>
      <c r="C15" s="5" t="n">
        <v>11</v>
      </c>
      <c r="D15" s="11" t="n">
        <f aca="false">'Ventas Mensuales'!D15*4.8</f>
        <v>55276.8</v>
      </c>
      <c r="E15" s="11" t="n">
        <f aca="false">'Ventas Mensuales'!E15*38.5</f>
        <v>125933.5</v>
      </c>
      <c r="F15" s="11" t="n">
        <f aca="false">'Ventas Mensuales'!F15*95</f>
        <v>71725</v>
      </c>
      <c r="G15" s="11" t="n">
        <f aca="false">'Ventas Mensuales'!G15*12.3</f>
        <v>79950</v>
      </c>
      <c r="H15" s="11" t="n">
        <f aca="false">'Ventas Mensuales'!H15*48</f>
        <v>52992</v>
      </c>
    </row>
    <row r="16" customFormat="false" ht="15" hidden="false" customHeight="false" outlineLevel="0" collapsed="false">
      <c r="A16" s="5" t="n">
        <v>2020</v>
      </c>
      <c r="B16" s="5" t="s">
        <v>21</v>
      </c>
      <c r="C16" s="5" t="n">
        <v>12</v>
      </c>
      <c r="D16" s="11" t="n">
        <f aca="false">'Ventas Mensuales'!D16*4.8</f>
        <v>60364.8</v>
      </c>
      <c r="E16" s="11" t="n">
        <f aca="false">'Ventas Mensuales'!E16*38.5</f>
        <v>131477.5</v>
      </c>
      <c r="F16" s="11" t="n">
        <f aca="false">'Ventas Mensuales'!F16*95</f>
        <v>81130</v>
      </c>
      <c r="G16" s="11" t="n">
        <f aca="false">'Ventas Mensuales'!G16*12.3</f>
        <v>74316.6</v>
      </c>
      <c r="H16" s="11" t="n">
        <f aca="false">'Ventas Mensuales'!H16*48</f>
        <v>53328</v>
      </c>
    </row>
    <row r="17" customFormat="false" ht="15" hidden="false" customHeight="false" outlineLevel="0" collapsed="false">
      <c r="A17" s="7" t="n">
        <v>2021</v>
      </c>
      <c r="B17" s="7" t="s">
        <v>10</v>
      </c>
      <c r="C17" s="7" t="n">
        <v>1</v>
      </c>
      <c r="D17" s="12" t="n">
        <f aca="false">'Ventas Mensuales'!D17*4.8</f>
        <v>58483.2</v>
      </c>
      <c r="E17" s="12" t="n">
        <f aca="false">'Ventas Mensuales'!E17*38.5</f>
        <v>129706.5</v>
      </c>
      <c r="F17" s="12" t="n">
        <f aca="false">'Ventas Mensuales'!F17*95</f>
        <v>72200</v>
      </c>
      <c r="G17" s="12" t="n">
        <f aca="false">'Ventas Mensuales'!G17*12.3</f>
        <v>73923</v>
      </c>
      <c r="H17" s="12" t="n">
        <f aca="false">'Ventas Mensuales'!H17*48</f>
        <v>52464</v>
      </c>
    </row>
    <row r="18" customFormat="false" ht="15" hidden="false" customHeight="false" outlineLevel="0" collapsed="false">
      <c r="A18" s="7" t="n">
        <v>2021</v>
      </c>
      <c r="B18" s="7" t="s">
        <v>11</v>
      </c>
      <c r="C18" s="7" t="n">
        <v>2</v>
      </c>
      <c r="D18" s="12" t="n">
        <f aca="false">'Ventas Mensuales'!D18*4.8</f>
        <v>54700.8</v>
      </c>
      <c r="E18" s="12" t="n">
        <f aca="false">'Ventas Mensuales'!E18*38.5</f>
        <v>117232.5</v>
      </c>
      <c r="F18" s="12" t="n">
        <f aca="false">'Ventas Mensuales'!F18*95</f>
        <v>63935</v>
      </c>
      <c r="G18" s="12" t="n">
        <f aca="false">'Ventas Mensuales'!G18*12.3</f>
        <v>67305.6</v>
      </c>
      <c r="H18" s="12" t="n">
        <f aca="false">'Ventas Mensuales'!H18*48</f>
        <v>46224</v>
      </c>
    </row>
    <row r="19" customFormat="false" ht="15" hidden="false" customHeight="false" outlineLevel="0" collapsed="false">
      <c r="A19" s="7" t="n">
        <v>2021</v>
      </c>
      <c r="B19" s="7" t="s">
        <v>12</v>
      </c>
      <c r="C19" s="7" t="n">
        <v>3</v>
      </c>
      <c r="D19" s="12" t="n">
        <f aca="false">'Ventas Mensuales'!D19*4.8</f>
        <v>55843.2</v>
      </c>
      <c r="E19" s="12" t="n">
        <f aca="false">'Ventas Mensuales'!E19*38.5</f>
        <v>146685</v>
      </c>
      <c r="F19" s="12" t="n">
        <f aca="false">'Ventas Mensuales'!F19*95</f>
        <v>81890</v>
      </c>
      <c r="G19" s="12" t="n">
        <f aca="false">'Ventas Mensuales'!G19*12.3</f>
        <v>75214.5</v>
      </c>
      <c r="H19" s="12" t="n">
        <f aca="false">'Ventas Mensuales'!H19*48</f>
        <v>55008</v>
      </c>
    </row>
    <row r="20" customFormat="false" ht="15" hidden="false" customHeight="false" outlineLevel="0" collapsed="false">
      <c r="A20" s="7" t="n">
        <v>2021</v>
      </c>
      <c r="B20" s="7" t="s">
        <v>13</v>
      </c>
      <c r="C20" s="7" t="n">
        <v>4</v>
      </c>
      <c r="D20" s="12" t="n">
        <f aca="false">'Ventas Mensuales'!D20*4.8</f>
        <v>59390.4</v>
      </c>
      <c r="E20" s="12" t="n">
        <f aca="false">'Ventas Mensuales'!E20*38.5</f>
        <v>150689</v>
      </c>
      <c r="F20" s="12" t="n">
        <f aca="false">'Ventas Mensuales'!F20*95</f>
        <v>79135</v>
      </c>
      <c r="G20" s="12" t="n">
        <f aca="false">'Ventas Mensuales'!G20*12.3</f>
        <v>76961.1</v>
      </c>
      <c r="H20" s="12" t="n">
        <f aca="false">'Ventas Mensuales'!H20*48</f>
        <v>53136</v>
      </c>
    </row>
    <row r="21" customFormat="false" ht="15" hidden="false" customHeight="false" outlineLevel="0" collapsed="false">
      <c r="A21" s="7" t="n">
        <v>2021</v>
      </c>
      <c r="B21" s="7" t="s">
        <v>14</v>
      </c>
      <c r="C21" s="7" t="n">
        <v>5</v>
      </c>
      <c r="D21" s="12" t="n">
        <f aca="false">'Ventas Mensuales'!D21*4.8</f>
        <v>63480</v>
      </c>
      <c r="E21" s="12" t="n">
        <f aca="false">'Ventas Mensuales'!E21*38.5</f>
        <v>141487.5</v>
      </c>
      <c r="F21" s="12" t="n">
        <f aca="false">'Ventas Mensuales'!F21*95</f>
        <v>84075</v>
      </c>
      <c r="G21" s="12" t="n">
        <f aca="false">'Ventas Mensuales'!G21*12.3</f>
        <v>88523.1</v>
      </c>
      <c r="H21" s="12" t="n">
        <f aca="false">'Ventas Mensuales'!H21*48</f>
        <v>56688</v>
      </c>
    </row>
    <row r="22" customFormat="false" ht="15" hidden="false" customHeight="false" outlineLevel="0" collapsed="false">
      <c r="A22" s="7" t="n">
        <v>2021</v>
      </c>
      <c r="B22" s="7" t="s">
        <v>15</v>
      </c>
      <c r="C22" s="7" t="n">
        <v>6</v>
      </c>
      <c r="D22" s="12" t="n">
        <f aca="false">'Ventas Mensuales'!D22*4.8</f>
        <v>61809.6</v>
      </c>
      <c r="E22" s="12" t="n">
        <f aca="false">'Ventas Mensuales'!E22*38.5</f>
        <v>163432.5</v>
      </c>
      <c r="F22" s="12" t="n">
        <f aca="false">'Ventas Mensuales'!F22*95</f>
        <v>85500</v>
      </c>
      <c r="G22" s="12" t="n">
        <f aca="false">'Ventas Mensuales'!G22*12.3</f>
        <v>80073</v>
      </c>
      <c r="H22" s="12" t="n">
        <f aca="false">'Ventas Mensuales'!H22*48</f>
        <v>55008</v>
      </c>
    </row>
    <row r="23" customFormat="false" ht="15" hidden="false" customHeight="false" outlineLevel="0" collapsed="false">
      <c r="A23" s="7" t="n">
        <v>2021</v>
      </c>
      <c r="B23" s="7" t="s">
        <v>16</v>
      </c>
      <c r="C23" s="7" t="n">
        <v>7</v>
      </c>
      <c r="D23" s="12" t="n">
        <f aca="false">'Ventas Mensuales'!D23*4.8</f>
        <v>62404.8</v>
      </c>
      <c r="E23" s="12" t="n">
        <f aca="false">'Ventas Mensuales'!E23*38.5</f>
        <v>158889.5</v>
      </c>
      <c r="F23" s="12" t="n">
        <f aca="false">'Ventas Mensuales'!F23*95</f>
        <v>91960</v>
      </c>
      <c r="G23" s="12" t="n">
        <f aca="false">'Ventas Mensuales'!G23*12.3</f>
        <v>87022.5</v>
      </c>
      <c r="H23" s="12" t="n">
        <f aca="false">'Ventas Mensuales'!H23*48</f>
        <v>56736</v>
      </c>
    </row>
    <row r="24" customFormat="false" ht="15" hidden="false" customHeight="false" outlineLevel="0" collapsed="false">
      <c r="A24" s="7" t="n">
        <v>2021</v>
      </c>
      <c r="B24" s="7" t="s">
        <v>17</v>
      </c>
      <c r="C24" s="7" t="n">
        <v>8</v>
      </c>
      <c r="D24" s="12" t="n">
        <f aca="false">'Ventas Mensuales'!D24*4.8</f>
        <v>66508.8</v>
      </c>
      <c r="E24" s="12" t="n">
        <f aca="false">'Ventas Mensuales'!E24*38.5</f>
        <v>171209.5</v>
      </c>
      <c r="F24" s="12" t="n">
        <f aca="false">'Ventas Mensuales'!F24*95</f>
        <v>89870</v>
      </c>
      <c r="G24" s="12" t="n">
        <f aca="false">'Ventas Mensuales'!G24*12.3</f>
        <v>96518.1</v>
      </c>
      <c r="H24" s="12" t="n">
        <f aca="false">'Ventas Mensuales'!H24*48</f>
        <v>65712</v>
      </c>
    </row>
    <row r="25" customFormat="false" ht="15" hidden="false" customHeight="false" outlineLevel="0" collapsed="false">
      <c r="A25" s="7" t="n">
        <v>2021</v>
      </c>
      <c r="B25" s="7" t="s">
        <v>18</v>
      </c>
      <c r="C25" s="7" t="n">
        <v>9</v>
      </c>
      <c r="D25" s="12" t="n">
        <f aca="false">'Ventas Mensuales'!D25*4.8</f>
        <v>60225.6</v>
      </c>
      <c r="E25" s="12" t="n">
        <f aca="false">'Ventas Mensuales'!E25*38.5</f>
        <v>158235</v>
      </c>
      <c r="F25" s="12" t="n">
        <f aca="false">'Ventas Mensuales'!F25*95</f>
        <v>88730</v>
      </c>
      <c r="G25" s="12" t="n">
        <f aca="false">'Ventas Mensuales'!G25*12.3</f>
        <v>87010.2</v>
      </c>
      <c r="H25" s="12" t="n">
        <f aca="false">'Ventas Mensuales'!H25*48</f>
        <v>57648</v>
      </c>
    </row>
    <row r="26" customFormat="false" ht="15" hidden="false" customHeight="false" outlineLevel="0" collapsed="false">
      <c r="A26" s="7" t="n">
        <v>2021</v>
      </c>
      <c r="B26" s="7" t="s">
        <v>19</v>
      </c>
      <c r="C26" s="7" t="n">
        <v>10</v>
      </c>
      <c r="D26" s="12" t="n">
        <f aca="false">'Ventas Mensuales'!D26*4.8</f>
        <v>64281.6</v>
      </c>
      <c r="E26" s="12" t="n">
        <f aca="false">'Ventas Mensuales'!E26*38.5</f>
        <v>137907</v>
      </c>
      <c r="F26" s="12" t="n">
        <f aca="false">'Ventas Mensuales'!F26*95</f>
        <v>82080</v>
      </c>
      <c r="G26" s="12" t="n">
        <f aca="false">'Ventas Mensuales'!G26*12.3</f>
        <v>82619.1</v>
      </c>
      <c r="H26" s="12" t="n">
        <f aca="false">'Ventas Mensuales'!H26*48</f>
        <v>61824</v>
      </c>
    </row>
    <row r="27" customFormat="false" ht="15" hidden="false" customHeight="false" outlineLevel="0" collapsed="false">
      <c r="A27" s="7" t="n">
        <v>2021</v>
      </c>
      <c r="B27" s="7" t="s">
        <v>20</v>
      </c>
      <c r="C27" s="7" t="n">
        <v>11</v>
      </c>
      <c r="D27" s="12" t="n">
        <f aca="false">'Ventas Mensuales'!D27*4.8</f>
        <v>64032</v>
      </c>
      <c r="E27" s="12" t="n">
        <f aca="false">'Ventas Mensuales'!E27*38.5</f>
        <v>135943.5</v>
      </c>
      <c r="F27" s="12" t="n">
        <f aca="false">'Ventas Mensuales'!F27*95</f>
        <v>79705</v>
      </c>
      <c r="G27" s="12" t="n">
        <f aca="false">'Ventas Mensuales'!G27*12.3</f>
        <v>75854.1</v>
      </c>
      <c r="H27" s="12" t="n">
        <f aca="false">'Ventas Mensuales'!H27*48</f>
        <v>59040</v>
      </c>
    </row>
    <row r="28" customFormat="false" ht="15" hidden="false" customHeight="false" outlineLevel="0" collapsed="false">
      <c r="A28" s="7" t="n">
        <v>2021</v>
      </c>
      <c r="B28" s="7" t="s">
        <v>21</v>
      </c>
      <c r="C28" s="7" t="n">
        <v>12</v>
      </c>
      <c r="D28" s="12" t="n">
        <f aca="false">'Ventas Mensuales'!D28*4.8</f>
        <v>67243.2</v>
      </c>
      <c r="E28" s="12" t="n">
        <f aca="false">'Ventas Mensuales'!E28*38.5</f>
        <v>143720.5</v>
      </c>
      <c r="F28" s="12" t="n">
        <f aca="false">'Ventas Mensuales'!F28*95</f>
        <v>85595</v>
      </c>
      <c r="G28" s="12" t="n">
        <f aca="false">'Ventas Mensuales'!G28*12.3</f>
        <v>85509.6</v>
      </c>
      <c r="H28" s="12" t="n">
        <f aca="false">'Ventas Mensuales'!H28*48</f>
        <v>54960</v>
      </c>
    </row>
    <row r="29" customFormat="false" ht="15" hidden="false" customHeight="false" outlineLevel="0" collapsed="false">
      <c r="A29" s="5" t="n">
        <v>2022</v>
      </c>
      <c r="B29" s="5" t="s">
        <v>10</v>
      </c>
      <c r="C29" s="5" t="n">
        <v>1</v>
      </c>
      <c r="D29" s="11" t="n">
        <f aca="false">'Ventas Mensuales'!D29*4.8</f>
        <v>57571.2</v>
      </c>
      <c r="E29" s="11" t="n">
        <f aca="false">'Ventas Mensuales'!E29*38.5</f>
        <v>130053</v>
      </c>
      <c r="F29" s="11" t="n">
        <f aca="false">'Ventas Mensuales'!F29*95</f>
        <v>76190</v>
      </c>
      <c r="G29" s="11" t="n">
        <f aca="false">'Ventas Mensuales'!G29*12.3</f>
        <v>73504.8</v>
      </c>
      <c r="H29" s="11" t="n">
        <f aca="false">'Ventas Mensuales'!H29*48</f>
        <v>46608</v>
      </c>
    </row>
    <row r="30" customFormat="false" ht="15" hidden="false" customHeight="false" outlineLevel="0" collapsed="false">
      <c r="A30" s="5" t="n">
        <v>2022</v>
      </c>
      <c r="B30" s="5" t="s">
        <v>11</v>
      </c>
      <c r="C30" s="5" t="n">
        <v>2</v>
      </c>
      <c r="D30" s="11" t="n">
        <f aca="false">'Ventas Mensuales'!D30*4.8</f>
        <v>51864</v>
      </c>
      <c r="E30" s="11" t="n">
        <f aca="false">'Ventas Mensuales'!E30*38.5</f>
        <v>115230.5</v>
      </c>
      <c r="F30" s="11" t="n">
        <f aca="false">'Ventas Mensuales'!F30*95</f>
        <v>75240</v>
      </c>
      <c r="G30" s="11" t="n">
        <f aca="false">'Ventas Mensuales'!G30*12.3</f>
        <v>74931.6</v>
      </c>
      <c r="H30" s="11" t="n">
        <f aca="false">'Ventas Mensuales'!H30*48</f>
        <v>51504</v>
      </c>
    </row>
    <row r="31" customFormat="false" ht="15" hidden="false" customHeight="false" outlineLevel="0" collapsed="false">
      <c r="A31" s="5" t="n">
        <v>2022</v>
      </c>
      <c r="B31" s="5" t="s">
        <v>12</v>
      </c>
      <c r="C31" s="5" t="n">
        <v>3</v>
      </c>
      <c r="D31" s="11" t="n">
        <f aca="false">'Ventas Mensuales'!D31*4.8</f>
        <v>57806.4</v>
      </c>
      <c r="E31" s="11" t="n">
        <f aca="false">'Ventas Mensuales'!E31*38.5</f>
        <v>129668</v>
      </c>
      <c r="F31" s="11" t="n">
        <f aca="false">'Ventas Mensuales'!F31*95</f>
        <v>83505</v>
      </c>
      <c r="G31" s="11" t="n">
        <f aca="false">'Ventas Mensuales'!G31*12.3</f>
        <v>84611.7</v>
      </c>
      <c r="H31" s="11" t="n">
        <f aca="false">'Ventas Mensuales'!H31*48</f>
        <v>51072</v>
      </c>
    </row>
    <row r="32" customFormat="false" ht="15" hidden="false" customHeight="false" outlineLevel="0" collapsed="false">
      <c r="A32" s="5" t="n">
        <v>2022</v>
      </c>
      <c r="B32" s="5" t="s">
        <v>13</v>
      </c>
      <c r="C32" s="5" t="n">
        <v>4</v>
      </c>
      <c r="D32" s="11" t="n">
        <f aca="false">'Ventas Mensuales'!D32*4.8</f>
        <v>61392</v>
      </c>
      <c r="E32" s="11" t="n">
        <f aca="false">'Ventas Mensuales'!E32*38.5</f>
        <v>134018.5</v>
      </c>
      <c r="F32" s="11" t="n">
        <f aca="false">'Ventas Mensuales'!F32*95</f>
        <v>84550</v>
      </c>
      <c r="G32" s="11" t="n">
        <f aca="false">'Ventas Mensuales'!G32*12.3</f>
        <v>84931.5</v>
      </c>
      <c r="H32" s="11" t="n">
        <f aca="false">'Ventas Mensuales'!H32*48</f>
        <v>53040</v>
      </c>
    </row>
    <row r="33" customFormat="false" ht="15" hidden="false" customHeight="false" outlineLevel="0" collapsed="false">
      <c r="A33" s="5" t="n">
        <v>2022</v>
      </c>
      <c r="B33" s="5" t="s">
        <v>14</v>
      </c>
      <c r="C33" s="5" t="n">
        <v>5</v>
      </c>
      <c r="D33" s="11" t="n">
        <f aca="false">'Ventas Mensuales'!D33*4.8</f>
        <v>63787.2</v>
      </c>
      <c r="E33" s="11" t="n">
        <f aca="false">'Ventas Mensuales'!E33*38.5</f>
        <v>150997</v>
      </c>
      <c r="F33" s="11" t="n">
        <f aca="false">'Ventas Mensuales'!F33*95</f>
        <v>81320</v>
      </c>
      <c r="G33" s="11" t="n">
        <f aca="false">'Ventas Mensuales'!G33*12.3</f>
        <v>89839.2</v>
      </c>
      <c r="H33" s="11" t="n">
        <f aca="false">'Ventas Mensuales'!H33*48</f>
        <v>57984</v>
      </c>
    </row>
    <row r="34" customFormat="false" ht="15" hidden="false" customHeight="false" outlineLevel="0" collapsed="false">
      <c r="A34" s="5" t="n">
        <v>2022</v>
      </c>
      <c r="B34" s="5" t="s">
        <v>15</v>
      </c>
      <c r="C34" s="5" t="n">
        <v>6</v>
      </c>
      <c r="D34" s="11" t="n">
        <f aca="false">'Ventas Mensuales'!D34*4.8</f>
        <v>62884.8</v>
      </c>
      <c r="E34" s="11" t="n">
        <f aca="false">'Ventas Mensuales'!E34*38.5</f>
        <v>155193.5</v>
      </c>
      <c r="F34" s="11" t="n">
        <f aca="false">'Ventas Mensuales'!F34*95</f>
        <v>90155</v>
      </c>
      <c r="G34" s="11" t="n">
        <f aca="false">'Ventas Mensuales'!G34*12.3</f>
        <v>83111.1</v>
      </c>
      <c r="H34" s="11" t="n">
        <f aca="false">'Ventas Mensuales'!H34*48</f>
        <v>58608</v>
      </c>
    </row>
    <row r="35" customFormat="false" ht="15" hidden="false" customHeight="false" outlineLevel="0" collapsed="false">
      <c r="A35" s="5" t="n">
        <v>2022</v>
      </c>
      <c r="B35" s="5" t="s">
        <v>16</v>
      </c>
      <c r="C35" s="5" t="n">
        <v>7</v>
      </c>
      <c r="D35" s="11" t="n">
        <f aca="false">'Ventas Mensuales'!D35*4.8</f>
        <v>73180.8</v>
      </c>
      <c r="E35" s="11" t="n">
        <f aca="false">'Ventas Mensuales'!E35*38.5</f>
        <v>162431.5</v>
      </c>
      <c r="F35" s="11" t="n">
        <f aca="false">'Ventas Mensuales'!F35*95</f>
        <v>88540</v>
      </c>
      <c r="G35" s="11" t="n">
        <f aca="false">'Ventas Mensuales'!G35*12.3</f>
        <v>90023.7</v>
      </c>
      <c r="H35" s="11" t="n">
        <f aca="false">'Ventas Mensuales'!H35*48</f>
        <v>58368</v>
      </c>
    </row>
    <row r="36" customFormat="false" ht="15" hidden="false" customHeight="false" outlineLevel="0" collapsed="false">
      <c r="A36" s="5" t="n">
        <v>2022</v>
      </c>
      <c r="B36" s="5" t="s">
        <v>17</v>
      </c>
      <c r="C36" s="5" t="n">
        <v>8</v>
      </c>
      <c r="D36" s="11" t="n">
        <f aca="false">'Ventas Mensuales'!D36*4.8</f>
        <v>66019.2</v>
      </c>
      <c r="E36" s="11" t="n">
        <f aca="false">'Ventas Mensuales'!E36*38.5</f>
        <v>157388</v>
      </c>
      <c r="F36" s="11" t="n">
        <f aca="false">'Ventas Mensuales'!F36*95</f>
        <v>92435</v>
      </c>
      <c r="G36" s="11" t="n">
        <f aca="false">'Ventas Mensuales'!G36*12.3</f>
        <v>87489.9</v>
      </c>
      <c r="H36" s="11" t="n">
        <f aca="false">'Ventas Mensuales'!H36*48</f>
        <v>60480</v>
      </c>
    </row>
    <row r="37" customFormat="false" ht="15" hidden="false" customHeight="false" outlineLevel="0" collapsed="false">
      <c r="A37" s="5" t="n">
        <v>2022</v>
      </c>
      <c r="B37" s="5" t="s">
        <v>18</v>
      </c>
      <c r="C37" s="5" t="n">
        <v>9</v>
      </c>
      <c r="D37" s="11" t="n">
        <f aca="false">'Ventas Mensuales'!D37*4.8</f>
        <v>61982.4</v>
      </c>
      <c r="E37" s="11" t="n">
        <f aca="false">'Ventas Mensuales'!E37*38.5</f>
        <v>158966.5</v>
      </c>
      <c r="F37" s="11" t="n">
        <f aca="false">'Ventas Mensuales'!F37*95</f>
        <v>83980</v>
      </c>
      <c r="G37" s="11" t="n">
        <f aca="false">'Ventas Mensuales'!G37*12.3</f>
        <v>93824.4</v>
      </c>
      <c r="H37" s="11" t="n">
        <f aca="false">'Ventas Mensuales'!H37*48</f>
        <v>64512</v>
      </c>
    </row>
    <row r="38" customFormat="false" ht="15" hidden="false" customHeight="false" outlineLevel="0" collapsed="false">
      <c r="A38" s="5" t="n">
        <v>2022</v>
      </c>
      <c r="B38" s="5" t="s">
        <v>19</v>
      </c>
      <c r="C38" s="5" t="n">
        <v>10</v>
      </c>
      <c r="D38" s="11" t="n">
        <f aca="false">'Ventas Mensuales'!D38*4.8</f>
        <v>59644.8</v>
      </c>
      <c r="E38" s="11" t="n">
        <f aca="false">'Ventas Mensuales'!E38*38.5</f>
        <v>143528</v>
      </c>
      <c r="F38" s="11" t="n">
        <f aca="false">'Ventas Mensuales'!F38*95</f>
        <v>86735</v>
      </c>
      <c r="G38" s="11" t="n">
        <f aca="false">'Ventas Mensuales'!G38*12.3</f>
        <v>80909.4</v>
      </c>
      <c r="H38" s="11" t="n">
        <f aca="false">'Ventas Mensuales'!H38*48</f>
        <v>55248</v>
      </c>
    </row>
    <row r="39" customFormat="false" ht="15" hidden="false" customHeight="false" outlineLevel="0" collapsed="false">
      <c r="A39" s="5" t="n">
        <v>2022</v>
      </c>
      <c r="B39" s="5" t="s">
        <v>20</v>
      </c>
      <c r="C39" s="5" t="n">
        <v>11</v>
      </c>
      <c r="D39" s="11" t="n">
        <f aca="false">'Ventas Mensuales'!D39*4.8</f>
        <v>65817.6</v>
      </c>
      <c r="E39" s="11" t="n">
        <f aca="false">'Ventas Mensuales'!E39*38.5</f>
        <v>145568.5</v>
      </c>
      <c r="F39" s="11" t="n">
        <f aca="false">'Ventas Mensuales'!F39*95</f>
        <v>80845</v>
      </c>
      <c r="G39" s="11" t="n">
        <f aca="false">'Ventas Mensuales'!G39*12.3</f>
        <v>85165.2</v>
      </c>
      <c r="H39" s="11" t="n">
        <f aca="false">'Ventas Mensuales'!H39*48</f>
        <v>59184</v>
      </c>
    </row>
    <row r="40" customFormat="false" ht="15" hidden="false" customHeight="false" outlineLevel="0" collapsed="false">
      <c r="A40" s="5" t="n">
        <v>2022</v>
      </c>
      <c r="B40" s="5" t="s">
        <v>21</v>
      </c>
      <c r="C40" s="5" t="n">
        <v>12</v>
      </c>
      <c r="D40" s="11" t="n">
        <f aca="false">'Ventas Mensuales'!D40*4.8</f>
        <v>61464</v>
      </c>
      <c r="E40" s="11" t="n">
        <f aca="false">'Ventas Mensuales'!E40*38.5</f>
        <v>141526</v>
      </c>
      <c r="F40" s="11" t="n">
        <f aca="false">'Ventas Mensuales'!F40*95</f>
        <v>84360</v>
      </c>
      <c r="G40" s="11" t="n">
        <f aca="false">'Ventas Mensuales'!G40*12.3</f>
        <v>84574.8</v>
      </c>
      <c r="H40" s="11" t="n">
        <f aca="false">'Ventas Mensuales'!H40*48</f>
        <v>58944</v>
      </c>
    </row>
    <row r="41" customFormat="false" ht="15" hidden="false" customHeight="false" outlineLevel="0" collapsed="false">
      <c r="A41" s="7" t="n">
        <v>2023</v>
      </c>
      <c r="B41" s="7" t="s">
        <v>10</v>
      </c>
      <c r="C41" s="7" t="n">
        <v>1</v>
      </c>
      <c r="D41" s="12" t="n">
        <f aca="false">'Ventas Mensuales'!D41*4.8</f>
        <v>58324.8</v>
      </c>
      <c r="E41" s="12" t="n">
        <f aca="false">'Ventas Mensuales'!E41*38.5</f>
        <v>135289</v>
      </c>
      <c r="F41" s="12" t="n">
        <f aca="false">'Ventas Mensuales'!F41*95</f>
        <v>79990</v>
      </c>
      <c r="G41" s="12" t="n">
        <f aca="false">'Ventas Mensuales'!G41*12.3</f>
        <v>69704.1</v>
      </c>
      <c r="H41" s="12" t="n">
        <f aca="false">'Ventas Mensuales'!H41*48</f>
        <v>50784</v>
      </c>
    </row>
    <row r="42" customFormat="false" ht="15" hidden="false" customHeight="false" outlineLevel="0" collapsed="false">
      <c r="A42" s="7" t="n">
        <v>2023</v>
      </c>
      <c r="B42" s="7" t="s">
        <v>11</v>
      </c>
      <c r="C42" s="7" t="n">
        <v>2</v>
      </c>
      <c r="D42" s="12" t="n">
        <f aca="false">'Ventas Mensuales'!D42*4.8</f>
        <v>52948.8</v>
      </c>
      <c r="E42" s="12" t="n">
        <f aca="false">'Ventas Mensuales'!E42*38.5</f>
        <v>134480.5</v>
      </c>
      <c r="F42" s="12" t="n">
        <f aca="false">'Ventas Mensuales'!F42*95</f>
        <v>68780</v>
      </c>
      <c r="G42" s="12" t="n">
        <f aca="false">'Ventas Mensuales'!G42*12.3</f>
        <v>68388</v>
      </c>
      <c r="H42" s="12" t="n">
        <f aca="false">'Ventas Mensuales'!H42*48</f>
        <v>49392</v>
      </c>
    </row>
    <row r="43" customFormat="false" ht="15" hidden="false" customHeight="false" outlineLevel="0" collapsed="false">
      <c r="A43" s="7" t="n">
        <v>2023</v>
      </c>
      <c r="B43" s="7" t="s">
        <v>12</v>
      </c>
      <c r="C43" s="7" t="n">
        <v>3</v>
      </c>
      <c r="D43" s="12" t="n">
        <f aca="false">'Ventas Mensuales'!D43*4.8</f>
        <v>59980.8</v>
      </c>
      <c r="E43" s="12" t="n">
        <f aca="false">'Ventas Mensuales'!E43*38.5</f>
        <v>137060</v>
      </c>
      <c r="F43" s="12" t="n">
        <f aca="false">'Ventas Mensuales'!F43*95</f>
        <v>76950</v>
      </c>
      <c r="G43" s="12" t="n">
        <f aca="false">'Ventas Mensuales'!G43*12.3</f>
        <v>85866.3</v>
      </c>
      <c r="H43" s="12" t="n">
        <f aca="false">'Ventas Mensuales'!H43*48</f>
        <v>55152</v>
      </c>
    </row>
    <row r="44" customFormat="false" ht="15" hidden="false" customHeight="false" outlineLevel="0" collapsed="false">
      <c r="A44" s="7" t="n">
        <v>2023</v>
      </c>
      <c r="B44" s="7" t="s">
        <v>13</v>
      </c>
      <c r="C44" s="7" t="n">
        <v>4</v>
      </c>
      <c r="D44" s="12" t="n">
        <f aca="false">'Ventas Mensuales'!D44*4.8</f>
        <v>66278.4</v>
      </c>
      <c r="E44" s="12" t="n">
        <f aca="false">'Ventas Mensuales'!E44*38.5</f>
        <v>147763</v>
      </c>
      <c r="F44" s="12" t="n">
        <f aca="false">'Ventas Mensuales'!F44*95</f>
        <v>76760</v>
      </c>
      <c r="G44" s="12" t="n">
        <f aca="false">'Ventas Mensuales'!G44*12.3</f>
        <v>89580.9</v>
      </c>
      <c r="H44" s="12" t="n">
        <f aca="false">'Ventas Mensuales'!H44*48</f>
        <v>60528</v>
      </c>
    </row>
    <row r="45" customFormat="false" ht="15" hidden="false" customHeight="false" outlineLevel="0" collapsed="false">
      <c r="A45" s="7" t="n">
        <v>2023</v>
      </c>
      <c r="B45" s="7" t="s">
        <v>14</v>
      </c>
      <c r="C45" s="7" t="n">
        <v>5</v>
      </c>
      <c r="D45" s="12" t="n">
        <f aca="false">'Ventas Mensuales'!D45*4.8</f>
        <v>70108.8</v>
      </c>
      <c r="E45" s="12" t="n">
        <f aca="false">'Ventas Mensuales'!E45*38.5</f>
        <v>162970.5</v>
      </c>
      <c r="F45" s="12" t="n">
        <f aca="false">'Ventas Mensuales'!F45*95</f>
        <v>90820</v>
      </c>
      <c r="G45" s="12" t="n">
        <f aca="false">'Ventas Mensuales'!G45*12.3</f>
        <v>81733.5</v>
      </c>
      <c r="H45" s="12" t="n">
        <f aca="false">'Ventas Mensuales'!H45*48</f>
        <v>59664</v>
      </c>
    </row>
    <row r="46" customFormat="false" ht="15" hidden="false" customHeight="false" outlineLevel="0" collapsed="false">
      <c r="A46" s="7" t="n">
        <v>2023</v>
      </c>
      <c r="B46" s="7" t="s">
        <v>15</v>
      </c>
      <c r="C46" s="7" t="n">
        <v>6</v>
      </c>
      <c r="D46" s="12" t="n">
        <f aca="false">'Ventas Mensuales'!D46*4.8</f>
        <v>64056</v>
      </c>
      <c r="E46" s="12" t="n">
        <f aca="false">'Ventas Mensuales'!E46*38.5</f>
        <v>154577.5</v>
      </c>
      <c r="F46" s="12" t="n">
        <f aca="false">'Ventas Mensuales'!F46*95</f>
        <v>82365</v>
      </c>
      <c r="G46" s="12" t="n">
        <f aca="false">'Ventas Mensuales'!G46*12.3</f>
        <v>87157.8</v>
      </c>
      <c r="H46" s="12" t="n">
        <f aca="false">'Ventas Mensuales'!H46*48</f>
        <v>66336</v>
      </c>
    </row>
    <row r="47" customFormat="false" ht="15" hidden="false" customHeight="false" outlineLevel="0" collapsed="false">
      <c r="A47" s="7" t="n">
        <v>2023</v>
      </c>
      <c r="B47" s="7" t="s">
        <v>16</v>
      </c>
      <c r="C47" s="7" t="n">
        <v>7</v>
      </c>
      <c r="D47" s="12" t="n">
        <f aca="false">'Ventas Mensuales'!D47*4.8</f>
        <v>66456</v>
      </c>
      <c r="E47" s="12" t="n">
        <f aca="false">'Ventas Mensuales'!E47*38.5</f>
        <v>168899.5</v>
      </c>
      <c r="F47" s="12" t="n">
        <f aca="false">'Ventas Mensuales'!F47*95</f>
        <v>90440</v>
      </c>
      <c r="G47" s="12" t="n">
        <f aca="false">'Ventas Mensuales'!G47*12.3</f>
        <v>90294.3</v>
      </c>
      <c r="H47" s="12" t="n">
        <f aca="false">'Ventas Mensuales'!H47*48</f>
        <v>67920</v>
      </c>
    </row>
    <row r="48" customFormat="false" ht="15" hidden="false" customHeight="false" outlineLevel="0" collapsed="false">
      <c r="A48" s="7" t="n">
        <v>2023</v>
      </c>
      <c r="B48" s="7" t="s">
        <v>17</v>
      </c>
      <c r="C48" s="7" t="n">
        <v>8</v>
      </c>
      <c r="D48" s="12" t="n">
        <f aca="false">'Ventas Mensuales'!D48*4.8</f>
        <v>75902.4</v>
      </c>
      <c r="E48" s="12" t="n">
        <f aca="false">'Ventas Mensuales'!E48*38.5</f>
        <v>166012</v>
      </c>
      <c r="F48" s="12" t="n">
        <f aca="false">'Ventas Mensuales'!F48*95</f>
        <v>96045</v>
      </c>
      <c r="G48" s="12" t="n">
        <f aca="false">'Ventas Mensuales'!G48*12.3</f>
        <v>87969.6</v>
      </c>
      <c r="H48" s="12" t="n">
        <f aca="false">'Ventas Mensuales'!H48*48</f>
        <v>62352</v>
      </c>
    </row>
    <row r="49" customFormat="false" ht="15" hidden="false" customHeight="false" outlineLevel="0" collapsed="false">
      <c r="A49" s="7" t="n">
        <v>2023</v>
      </c>
      <c r="B49" s="7" t="s">
        <v>18</v>
      </c>
      <c r="C49" s="7" t="n">
        <v>9</v>
      </c>
      <c r="D49" s="12" t="n">
        <f aca="false">'Ventas Mensuales'!D49*4.8</f>
        <v>72854.4</v>
      </c>
      <c r="E49" s="12" t="n">
        <f aca="false">'Ventas Mensuales'!E49*38.5</f>
        <v>160545</v>
      </c>
      <c r="F49" s="12" t="n">
        <f aca="false">'Ventas Mensuales'!F49*95</f>
        <v>90060</v>
      </c>
      <c r="G49" s="12" t="n">
        <f aca="false">'Ventas Mensuales'!G49*12.3</f>
        <v>93283.2</v>
      </c>
      <c r="H49" s="12" t="n">
        <f aca="false">'Ventas Mensuales'!H49*48</f>
        <v>57744</v>
      </c>
    </row>
    <row r="50" customFormat="false" ht="15" hidden="false" customHeight="false" outlineLevel="0" collapsed="false">
      <c r="A50" s="7" t="n">
        <v>2023</v>
      </c>
      <c r="B50" s="7" t="s">
        <v>19</v>
      </c>
      <c r="C50" s="7" t="n">
        <v>10</v>
      </c>
      <c r="D50" s="12" t="n">
        <f aca="false">'Ventas Mensuales'!D50*4.8</f>
        <v>66091.2</v>
      </c>
      <c r="E50" s="12" t="n">
        <f aca="false">'Ventas Mensuales'!E50*38.5</f>
        <v>152652.5</v>
      </c>
      <c r="F50" s="12" t="n">
        <f aca="false">'Ventas Mensuales'!F50*95</f>
        <v>90915</v>
      </c>
      <c r="G50" s="12" t="n">
        <f aca="false">'Ventas Mensuales'!G50*12.3</f>
        <v>81610.5</v>
      </c>
      <c r="H50" s="12" t="n">
        <f aca="false">'Ventas Mensuales'!H50*48</f>
        <v>64176</v>
      </c>
    </row>
    <row r="51" customFormat="false" ht="15" hidden="false" customHeight="false" outlineLevel="0" collapsed="false">
      <c r="A51" s="7" t="n">
        <v>2023</v>
      </c>
      <c r="B51" s="7" t="s">
        <v>20</v>
      </c>
      <c r="C51" s="7" t="n">
        <v>11</v>
      </c>
      <c r="D51" s="12" t="n">
        <f aca="false">'Ventas Mensuales'!D51*4.8</f>
        <v>58449.6</v>
      </c>
      <c r="E51" s="12" t="n">
        <f aca="false">'Ventas Mensuales'!E51*38.5</f>
        <v>139216</v>
      </c>
      <c r="F51" s="12" t="n">
        <f aca="false">'Ventas Mensuales'!F51*95</f>
        <v>83885</v>
      </c>
      <c r="G51" s="12" t="n">
        <f aca="false">'Ventas Mensuales'!G51*12.3</f>
        <v>85275.9</v>
      </c>
      <c r="H51" s="12" t="n">
        <f aca="false">'Ventas Mensuales'!H51*48</f>
        <v>55008</v>
      </c>
    </row>
    <row r="52" customFormat="false" ht="15" hidden="false" customHeight="false" outlineLevel="0" collapsed="false">
      <c r="A52" s="7" t="n">
        <v>2023</v>
      </c>
      <c r="B52" s="7" t="s">
        <v>21</v>
      </c>
      <c r="C52" s="7" t="n">
        <v>12</v>
      </c>
      <c r="D52" s="12" t="n">
        <f aca="false">'Ventas Mensuales'!D52*4.8</f>
        <v>61848</v>
      </c>
      <c r="E52" s="12" t="n">
        <f aca="false">'Ventas Mensuales'!E52*38.5</f>
        <v>163663.5</v>
      </c>
      <c r="F52" s="12" t="n">
        <f aca="false">'Ventas Mensuales'!F52*95</f>
        <v>83410</v>
      </c>
      <c r="G52" s="12" t="n">
        <f aca="false">'Ventas Mensuales'!G52*12.3</f>
        <v>88510.8</v>
      </c>
      <c r="H52" s="12" t="n">
        <f aca="false">'Ventas Mensuales'!H52*48</f>
        <v>61536</v>
      </c>
    </row>
    <row r="53" customFormat="false" ht="15" hidden="false" customHeight="false" outlineLevel="0" collapsed="false">
      <c r="A53" s="5" t="n">
        <v>2024</v>
      </c>
      <c r="B53" s="5" t="s">
        <v>10</v>
      </c>
      <c r="C53" s="5" t="n">
        <v>1</v>
      </c>
      <c r="D53" s="11" t="n">
        <f aca="false">'Ventas Mensuales'!D53*4.8</f>
        <v>54033.6</v>
      </c>
      <c r="E53" s="11" t="n">
        <f aca="false">'Ventas Mensuales'!E53*38.5</f>
        <v>129783.5</v>
      </c>
      <c r="F53" s="11" t="n">
        <f aca="false">'Ventas Mensuales'!F53*95</f>
        <v>72485</v>
      </c>
      <c r="G53" s="11" t="n">
        <f aca="false">'Ventas Mensuales'!G53*12.3</f>
        <v>77514.6</v>
      </c>
      <c r="H53" s="11" t="n">
        <f aca="false">'Ventas Mensuales'!H53*48</f>
        <v>47808</v>
      </c>
    </row>
    <row r="54" customFormat="false" ht="15" hidden="false" customHeight="false" outlineLevel="0" collapsed="false">
      <c r="A54" s="5" t="n">
        <v>2024</v>
      </c>
      <c r="B54" s="5" t="s">
        <v>11</v>
      </c>
      <c r="C54" s="5" t="n">
        <v>2</v>
      </c>
      <c r="D54" s="11" t="n">
        <f aca="false">'Ventas Mensuales'!D54*4.8</f>
        <v>54705.6</v>
      </c>
      <c r="E54" s="11" t="n">
        <f aca="false">'Ventas Mensuales'!E54*38.5</f>
        <v>118541.5</v>
      </c>
      <c r="F54" s="11" t="n">
        <f aca="false">'Ventas Mensuales'!F54*95</f>
        <v>68590</v>
      </c>
      <c r="G54" s="11" t="n">
        <f aca="false">'Ventas Mensuales'!G54*12.3</f>
        <v>71930.4</v>
      </c>
      <c r="H54" s="11" t="n">
        <f aca="false">'Ventas Mensuales'!H54*48</f>
        <v>46896</v>
      </c>
    </row>
    <row r="55" customFormat="false" ht="15" hidden="false" customHeight="false" outlineLevel="0" collapsed="false">
      <c r="A55" s="5" t="n">
        <v>2024</v>
      </c>
      <c r="B55" s="5" t="s">
        <v>12</v>
      </c>
      <c r="C55" s="5" t="n">
        <v>3</v>
      </c>
      <c r="D55" s="11" t="n">
        <f aca="false">'Ventas Mensuales'!D55*4.8</f>
        <v>57360</v>
      </c>
      <c r="E55" s="11" t="n">
        <f aca="false">'Ventas Mensuales'!E55*38.5</f>
        <v>143836</v>
      </c>
      <c r="F55" s="11" t="n">
        <f aca="false">'Ventas Mensuales'!F55*95</f>
        <v>72675</v>
      </c>
      <c r="G55" s="11" t="n">
        <f aca="false">'Ventas Mensuales'!G55*12.3</f>
        <v>77723.7</v>
      </c>
      <c r="H55" s="11" t="n">
        <f aca="false">'Ventas Mensuales'!H55*48</f>
        <v>58512</v>
      </c>
    </row>
    <row r="56" customFormat="false" ht="15" hidden="false" customHeight="false" outlineLevel="0" collapsed="false">
      <c r="A56" s="5" t="n">
        <v>2024</v>
      </c>
      <c r="B56" s="5" t="s">
        <v>13</v>
      </c>
      <c r="C56" s="5" t="n">
        <v>4</v>
      </c>
      <c r="D56" s="11" t="n">
        <f aca="false">'Ventas Mensuales'!D56*4.8</f>
        <v>65803.2</v>
      </c>
      <c r="E56" s="11" t="n">
        <f aca="false">'Ventas Mensuales'!E56*38.5</f>
        <v>132863.5</v>
      </c>
      <c r="F56" s="11" t="n">
        <f aca="false">'Ventas Mensuales'!F56*95</f>
        <v>76760</v>
      </c>
      <c r="G56" s="11" t="n">
        <f aca="false">'Ventas Mensuales'!G56*12.3</f>
        <v>77686.8</v>
      </c>
      <c r="H56" s="11" t="n">
        <f aca="false">'Ventas Mensuales'!H56*48</f>
        <v>59760</v>
      </c>
    </row>
    <row r="57" customFormat="false" ht="15" hidden="false" customHeight="false" outlineLevel="0" collapsed="false">
      <c r="A57" s="5" t="n">
        <v>2024</v>
      </c>
      <c r="B57" s="5" t="s">
        <v>14</v>
      </c>
      <c r="C57" s="5" t="n">
        <v>5</v>
      </c>
      <c r="D57" s="11" t="n">
        <f aca="false">'Ventas Mensuales'!D57*4.8</f>
        <v>67320</v>
      </c>
      <c r="E57" s="11" t="n">
        <f aca="false">'Ventas Mensuales'!E57*38.5</f>
        <v>157465</v>
      </c>
      <c r="F57" s="11" t="n">
        <f aca="false">'Ventas Mensuales'!F57*95</f>
        <v>81985</v>
      </c>
      <c r="G57" s="11" t="n">
        <f aca="false">'Ventas Mensuales'!G57*12.3</f>
        <v>79408.8</v>
      </c>
      <c r="H57" s="11" t="n">
        <f aca="false">'Ventas Mensuales'!H57*48</f>
        <v>61248</v>
      </c>
    </row>
    <row r="58" customFormat="false" ht="15" hidden="false" customHeight="false" outlineLevel="0" collapsed="false">
      <c r="A58" s="5" t="n">
        <v>2024</v>
      </c>
      <c r="B58" s="5" t="s">
        <v>15</v>
      </c>
      <c r="C58" s="5" t="n">
        <v>6</v>
      </c>
      <c r="D58" s="11" t="n">
        <f aca="false">'Ventas Mensuales'!D58*4.8</f>
        <v>67444.8</v>
      </c>
      <c r="E58" s="11" t="n">
        <f aca="false">'Ventas Mensuales'!E58*38.5</f>
        <v>155540</v>
      </c>
      <c r="F58" s="11" t="n">
        <f aca="false">'Ventas Mensuales'!F58*95</f>
        <v>92910</v>
      </c>
      <c r="G58" s="11" t="n">
        <f aca="false">'Ventas Mensuales'!G58*12.3</f>
        <v>88609.2</v>
      </c>
      <c r="H58" s="11" t="n">
        <f aca="false">'Ventas Mensuales'!H58*48</f>
        <v>55152</v>
      </c>
    </row>
    <row r="59" customFormat="false" ht="15" hidden="false" customHeight="false" outlineLevel="0" collapsed="false">
      <c r="A59" s="5" t="n">
        <v>2024</v>
      </c>
      <c r="B59" s="5" t="s">
        <v>16</v>
      </c>
      <c r="C59" s="5" t="n">
        <v>7</v>
      </c>
      <c r="D59" s="11" t="n">
        <f aca="false">'Ventas Mensuales'!D59*4.8</f>
        <v>70593.6</v>
      </c>
      <c r="E59" s="11" t="n">
        <f aca="false">'Ventas Mensuales'!E59*38.5</f>
        <v>152113.5</v>
      </c>
      <c r="F59" s="11" t="n">
        <f aca="false">'Ventas Mensuales'!F59*95</f>
        <v>91010</v>
      </c>
      <c r="G59" s="11" t="n">
        <f aca="false">'Ventas Mensuales'!G59*12.3</f>
        <v>95202</v>
      </c>
      <c r="H59" s="11" t="n">
        <f aca="false">'Ventas Mensuales'!H59*48</f>
        <v>57984</v>
      </c>
    </row>
    <row r="60" customFormat="false" ht="15" hidden="false" customHeight="false" outlineLevel="0" collapsed="false">
      <c r="A60" s="5" t="n">
        <v>2024</v>
      </c>
      <c r="B60" s="5" t="s">
        <v>17</v>
      </c>
      <c r="C60" s="5" t="n">
        <v>8</v>
      </c>
      <c r="D60" s="11" t="n">
        <f aca="false">'Ventas Mensuales'!D60*4.8</f>
        <v>64219.2</v>
      </c>
      <c r="E60" s="11" t="n">
        <f aca="false">'Ventas Mensuales'!E60*38.5</f>
        <v>150034.5</v>
      </c>
      <c r="F60" s="11" t="n">
        <f aca="false">'Ventas Mensuales'!F60*95</f>
        <v>91010</v>
      </c>
      <c r="G60" s="11" t="n">
        <f aca="false">'Ventas Mensuales'!G60*12.3</f>
        <v>87293.1</v>
      </c>
      <c r="H60" s="11" t="n">
        <f aca="false">'Ventas Mensuales'!H60*48</f>
        <v>63792</v>
      </c>
    </row>
    <row r="61" customFormat="false" ht="15" hidden="false" customHeight="false" outlineLevel="0" collapsed="false">
      <c r="A61" s="5" t="n">
        <v>2024</v>
      </c>
      <c r="B61" s="5" t="s">
        <v>18</v>
      </c>
      <c r="C61" s="5" t="n">
        <v>9</v>
      </c>
      <c r="D61" s="11" t="n">
        <f aca="false">'Ventas Mensuales'!D61*4.8</f>
        <v>68236.8</v>
      </c>
      <c r="E61" s="11" t="n">
        <f aca="false">'Ventas Mensuales'!E61*38.5</f>
        <v>146954.5</v>
      </c>
      <c r="F61" s="11" t="n">
        <f aca="false">'Ventas Mensuales'!F61*95</f>
        <v>88920</v>
      </c>
      <c r="G61" s="11" t="n">
        <f aca="false">'Ventas Mensuales'!G61*12.3</f>
        <v>84009</v>
      </c>
      <c r="H61" s="11" t="n">
        <f aca="false">'Ventas Mensuales'!H61*48</f>
        <v>60336</v>
      </c>
    </row>
    <row r="62" customFormat="false" ht="15" hidden="false" customHeight="false" outlineLevel="0" collapsed="false">
      <c r="A62" s="5" t="n">
        <v>2024</v>
      </c>
      <c r="B62" s="5" t="s">
        <v>19</v>
      </c>
      <c r="C62" s="5" t="n">
        <v>10</v>
      </c>
      <c r="D62" s="11" t="n">
        <f aca="false">'Ventas Mensuales'!D62*4.8</f>
        <v>67569.6</v>
      </c>
      <c r="E62" s="11" t="n">
        <f aca="false">'Ventas Mensuales'!E62*38.5</f>
        <v>156656.5</v>
      </c>
      <c r="F62" s="11" t="n">
        <f aca="false">'Ventas Mensuales'!F62*95</f>
        <v>78280</v>
      </c>
      <c r="G62" s="11" t="n">
        <f aca="false">'Ventas Mensuales'!G62*12.3</f>
        <v>82975.8</v>
      </c>
      <c r="H62" s="11" t="n">
        <f aca="false">'Ventas Mensuales'!H62*48</f>
        <v>56064</v>
      </c>
    </row>
    <row r="63" customFormat="false" ht="15" hidden="false" customHeight="false" outlineLevel="0" collapsed="false">
      <c r="A63" s="5" t="n">
        <v>2024</v>
      </c>
      <c r="B63" s="5" t="s">
        <v>20</v>
      </c>
      <c r="C63" s="5" t="n">
        <v>11</v>
      </c>
      <c r="D63" s="11" t="n">
        <f aca="false">'Ventas Mensuales'!D63*4.8</f>
        <v>56121.6</v>
      </c>
      <c r="E63" s="11" t="n">
        <f aca="false">'Ventas Mensuales'!E63*38.5</f>
        <v>148802.5</v>
      </c>
      <c r="F63" s="11" t="n">
        <f aca="false">'Ventas Mensuales'!F63*95</f>
        <v>82175</v>
      </c>
      <c r="G63" s="11" t="n">
        <f aca="false">'Ventas Mensuales'!G63*12.3</f>
        <v>77637.6</v>
      </c>
      <c r="H63" s="11" t="n">
        <f aca="false">'Ventas Mensuales'!H63*48</f>
        <v>58032</v>
      </c>
    </row>
    <row r="64" customFormat="false" ht="15" hidden="false" customHeight="false" outlineLevel="0" collapsed="false">
      <c r="A64" s="5" t="n">
        <v>2024</v>
      </c>
      <c r="B64" s="5" t="s">
        <v>21</v>
      </c>
      <c r="C64" s="5" t="n">
        <v>12</v>
      </c>
      <c r="D64" s="11" t="n">
        <f aca="false">'Ventas Mensuales'!D64*4.8</f>
        <v>64603.2</v>
      </c>
      <c r="E64" s="11" t="n">
        <f aca="false">'Ventas Mensuales'!E64*38.5</f>
        <v>148148</v>
      </c>
      <c r="F64" s="11" t="n">
        <f aca="false">'Ventas Mensuales'!F64*95</f>
        <v>77900</v>
      </c>
      <c r="G64" s="11" t="n">
        <f aca="false">'Ventas Mensuales'!G64*12.3</f>
        <v>79064.4</v>
      </c>
      <c r="H64" s="11" t="n">
        <f aca="false">'Ventas Mensuales'!H64*48</f>
        <v>62352</v>
      </c>
    </row>
    <row r="65" customFormat="false" ht="15" hidden="false" customHeight="false" outlineLevel="0" collapsed="false">
      <c r="A65" s="9" t="s">
        <v>22</v>
      </c>
      <c r="B65" s="9"/>
      <c r="C65" s="9"/>
      <c r="D65" s="13" t="n">
        <f aca="false">SUM(D5:D64)</f>
        <v>3709022.4</v>
      </c>
      <c r="E65" s="13" t="n">
        <f aca="false">SUM(E5:E64)</f>
        <v>8628697</v>
      </c>
      <c r="F65" s="13" t="n">
        <f aca="false">SUM(F5:F64)</f>
        <v>4867325</v>
      </c>
      <c r="G65" s="13" t="n">
        <f aca="false">SUM(G5:G64)</f>
        <v>4900627.5</v>
      </c>
      <c r="H65" s="13" t="n">
        <f aca="false">SUM(H5:H64)</f>
        <v>3377424</v>
      </c>
    </row>
  </sheetData>
  <mergeCells count="3">
    <mergeCell ref="A1:C1"/>
    <mergeCell ref="A2:C2"/>
    <mergeCell ref="A65:C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4"/>
    <col collapsed="false" customWidth="true" hidden="false" outlineLevel="0" max="13" min="12" style="0" width="16"/>
  </cols>
  <sheetData>
    <row r="1" customFormat="false" ht="27.7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14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5" t="s">
        <v>39</v>
      </c>
      <c r="I4" s="15" t="s">
        <v>40</v>
      </c>
      <c r="J4" s="15" t="s">
        <v>41</v>
      </c>
      <c r="K4" s="15" t="s">
        <v>42</v>
      </c>
      <c r="L4" s="16" t="s">
        <v>43</v>
      </c>
      <c r="M4" s="16" t="s">
        <v>44</v>
      </c>
    </row>
    <row r="5" customFormat="false" ht="15" hidden="false" customHeight="false" outlineLevel="0" collapsed="false">
      <c r="A5" s="17" t="s">
        <v>45</v>
      </c>
      <c r="B5" s="6" t="n">
        <f aca="false">SUM('Ventas Mensuales'!D5:D16)</f>
        <v>144978</v>
      </c>
      <c r="C5" s="18" t="n">
        <f aca="false">SUM('Ingresos USD'!D5:D16)</f>
        <v>695894.4</v>
      </c>
      <c r="D5" s="6" t="n">
        <f aca="false">SUM('Ventas Mensuales'!D17:D28)</f>
        <v>153834</v>
      </c>
      <c r="E5" s="18" t="n">
        <f aca="false">SUM('Ingresos USD'!D17:D28)</f>
        <v>738403.2</v>
      </c>
      <c r="F5" s="6" t="n">
        <f aca="false">SUM('Ventas Mensuales'!D29:D40)</f>
        <v>154878</v>
      </c>
      <c r="G5" s="18" t="n">
        <f aca="false">SUM('Ingresos USD'!D29:D40)</f>
        <v>743414.4</v>
      </c>
      <c r="H5" s="6" t="n">
        <f aca="false">SUM('Ventas Mensuales'!D41:D52)</f>
        <v>161104</v>
      </c>
      <c r="I5" s="18" t="n">
        <f aca="false">SUM('Ingresos USD'!D41:D52)</f>
        <v>773299.2</v>
      </c>
      <c r="J5" s="6" t="n">
        <f aca="false">SUM('Ventas Mensuales'!D53:D64)</f>
        <v>157919</v>
      </c>
      <c r="K5" s="18" t="n">
        <f aca="false">SUM('Ingresos USD'!D53:D64)</f>
        <v>758011.2</v>
      </c>
      <c r="L5" s="19" t="n">
        <f aca="false">B5+D5+F5+H5+J5</f>
        <v>772713</v>
      </c>
      <c r="M5" s="20" t="n">
        <f aca="false">C5+E5+G5+I5+K5</f>
        <v>3709022.4</v>
      </c>
    </row>
    <row r="6" customFormat="false" ht="15" hidden="false" customHeight="false" outlineLevel="0" collapsed="false">
      <c r="A6" s="21" t="s">
        <v>46</v>
      </c>
      <c r="B6" s="8" t="n">
        <f aca="false">SUM('Ventas Mensuales'!E5:E16)</f>
        <v>41172</v>
      </c>
      <c r="C6" s="22" t="n">
        <f aca="false">SUM('Ingresos USD'!E5:E16)</f>
        <v>1585122</v>
      </c>
      <c r="D6" s="8" t="n">
        <f aca="false">SUM('Ventas Mensuales'!E17:E28)</f>
        <v>45588</v>
      </c>
      <c r="E6" s="22" t="n">
        <f aca="false">SUM('Ingresos USD'!E17:E28)</f>
        <v>1755138</v>
      </c>
      <c r="F6" s="8" t="n">
        <f aca="false">SUM('Ventas Mensuales'!E29:E40)</f>
        <v>44794</v>
      </c>
      <c r="G6" s="22" t="n">
        <f aca="false">SUM('Ingresos USD'!E29:E40)</f>
        <v>1724569</v>
      </c>
      <c r="H6" s="8" t="n">
        <f aca="false">SUM('Ventas Mensuales'!E41:E52)</f>
        <v>47354</v>
      </c>
      <c r="I6" s="22" t="n">
        <f aca="false">SUM('Ingresos USD'!E41:E52)</f>
        <v>1823129</v>
      </c>
      <c r="J6" s="8" t="n">
        <f aca="false">SUM('Ventas Mensuales'!E53:E64)</f>
        <v>45214</v>
      </c>
      <c r="K6" s="22" t="n">
        <f aca="false">SUM('Ingresos USD'!E53:E64)</f>
        <v>1740739</v>
      </c>
      <c r="L6" s="19" t="n">
        <f aca="false">B6+D6+F6+H6+J6</f>
        <v>224122</v>
      </c>
      <c r="M6" s="20" t="n">
        <f aca="false">C6+E6+G6+I6+K6</f>
        <v>8628697</v>
      </c>
    </row>
    <row r="7" customFormat="false" ht="15" hidden="false" customHeight="false" outlineLevel="0" collapsed="false">
      <c r="A7" s="17" t="s">
        <v>47</v>
      </c>
      <c r="B7" s="6" t="n">
        <f aca="false">SUM('Ventas Mensuales'!F5:F16)</f>
        <v>9365</v>
      </c>
      <c r="C7" s="18" t="n">
        <f aca="false">SUM('Ingresos USD'!F5:F16)</f>
        <v>889675</v>
      </c>
      <c r="D7" s="6" t="n">
        <f aca="false">SUM('Ventas Mensuales'!F17:F28)</f>
        <v>10365</v>
      </c>
      <c r="E7" s="18" t="n">
        <f aca="false">SUM('Ingresos USD'!F17:F28)</f>
        <v>984675</v>
      </c>
      <c r="F7" s="6" t="n">
        <f aca="false">SUM('Ventas Mensuales'!F29:F40)</f>
        <v>10609</v>
      </c>
      <c r="G7" s="18" t="n">
        <f aca="false">SUM('Ingresos USD'!F29:F40)</f>
        <v>1007855</v>
      </c>
      <c r="H7" s="6" t="n">
        <f aca="false">SUM('Ventas Mensuales'!F41:F52)</f>
        <v>10636</v>
      </c>
      <c r="I7" s="18" t="n">
        <f aca="false">SUM('Ingresos USD'!F41:F52)</f>
        <v>1010420</v>
      </c>
      <c r="J7" s="6" t="n">
        <f aca="false">SUM('Ventas Mensuales'!F53:F64)</f>
        <v>10260</v>
      </c>
      <c r="K7" s="18" t="n">
        <f aca="false">SUM('Ingresos USD'!F53:F64)</f>
        <v>974700</v>
      </c>
      <c r="L7" s="19" t="n">
        <f aca="false">B7+D7+F7+H7+J7</f>
        <v>51235</v>
      </c>
      <c r="M7" s="20" t="n">
        <f aca="false">C7+E7+G7+I7+K7</f>
        <v>4867325</v>
      </c>
    </row>
    <row r="8" customFormat="false" ht="15" hidden="false" customHeight="false" outlineLevel="0" collapsed="false">
      <c r="A8" s="21" t="s">
        <v>48</v>
      </c>
      <c r="B8" s="8" t="n">
        <f aca="false">SUM('Ventas Mensuales'!G5:G16)</f>
        <v>75020</v>
      </c>
      <c r="C8" s="22" t="n">
        <f aca="false">SUM('Ingresos USD'!G5:G16)</f>
        <v>922746</v>
      </c>
      <c r="D8" s="8" t="n">
        <f aca="false">SUM('Ventas Mensuales'!G17:G28)</f>
        <v>79393</v>
      </c>
      <c r="E8" s="22" t="n">
        <f aca="false">SUM('Ingresos USD'!G17:G28)</f>
        <v>976533.9</v>
      </c>
      <c r="F8" s="8" t="n">
        <f aca="false">SUM('Ventas Mensuales'!G29:G40)</f>
        <v>82351</v>
      </c>
      <c r="G8" s="22" t="n">
        <f aca="false">SUM('Ingresos USD'!G29:G40)</f>
        <v>1012917.3</v>
      </c>
      <c r="H8" s="8" t="n">
        <f aca="false">SUM('Ventas Mensuales'!G41:G52)</f>
        <v>82063</v>
      </c>
      <c r="I8" s="22" t="n">
        <f aca="false">SUM('Ingresos USD'!G41:G52)</f>
        <v>1009374.9</v>
      </c>
      <c r="J8" s="8" t="n">
        <f aca="false">SUM('Ventas Mensuales'!G53:G64)</f>
        <v>79598</v>
      </c>
      <c r="K8" s="22" t="n">
        <f aca="false">SUM('Ingresos USD'!G53:G64)</f>
        <v>979055.4</v>
      </c>
      <c r="L8" s="19" t="n">
        <f aca="false">B8+D8+F8+H8+J8</f>
        <v>398425</v>
      </c>
      <c r="M8" s="20" t="n">
        <f aca="false">C8+E8+G8+I8+K8</f>
        <v>4900627.5</v>
      </c>
    </row>
    <row r="9" customFormat="false" ht="15" hidden="false" customHeight="false" outlineLevel="0" collapsed="false">
      <c r="A9" s="17" t="s">
        <v>49</v>
      </c>
      <c r="B9" s="6" t="n">
        <f aca="false">SUM('Ventas Mensuales'!H5:H16)</f>
        <v>13102</v>
      </c>
      <c r="C9" s="18" t="n">
        <f aca="false">SUM('Ingresos USD'!H5:H16)</f>
        <v>628896</v>
      </c>
      <c r="D9" s="6" t="n">
        <f aca="false">SUM('Ventas Mensuales'!H17:H28)</f>
        <v>14051</v>
      </c>
      <c r="E9" s="18" t="n">
        <f aca="false">SUM('Ingresos USD'!H17:H28)</f>
        <v>674448</v>
      </c>
      <c r="F9" s="6" t="n">
        <f aca="false">SUM('Ventas Mensuales'!H29:H40)</f>
        <v>14074</v>
      </c>
      <c r="G9" s="18" t="n">
        <f aca="false">SUM('Ingresos USD'!H29:H40)</f>
        <v>675552</v>
      </c>
      <c r="H9" s="6" t="n">
        <f aca="false">SUM('Ventas Mensuales'!H41:H52)</f>
        <v>14804</v>
      </c>
      <c r="I9" s="18" t="n">
        <f aca="false">SUM('Ingresos USD'!H41:H52)</f>
        <v>710592</v>
      </c>
      <c r="J9" s="6" t="n">
        <f aca="false">SUM('Ventas Mensuales'!H53:H64)</f>
        <v>14332</v>
      </c>
      <c r="K9" s="18" t="n">
        <f aca="false">SUM('Ingresos USD'!H53:H64)</f>
        <v>687936</v>
      </c>
      <c r="L9" s="19" t="n">
        <f aca="false">B9+D9+F9+H9+J9</f>
        <v>70363</v>
      </c>
      <c r="M9" s="20" t="n">
        <f aca="false">C9+E9+G9+I9+K9</f>
        <v>3377424</v>
      </c>
    </row>
    <row r="10" customFormat="false" ht="15" hidden="false" customHeight="false" outlineLevel="0" collapsed="false">
      <c r="A10" s="14" t="s">
        <v>50</v>
      </c>
      <c r="B10" s="10" t="n">
        <f aca="false">SUM(B5:B9)</f>
        <v>283637</v>
      </c>
      <c r="C10" s="23" t="n">
        <f aca="false">SUM(C5:C9)</f>
        <v>4722333.4</v>
      </c>
      <c r="D10" s="10" t="n">
        <f aca="false">SUM(D5:D9)</f>
        <v>303231</v>
      </c>
      <c r="E10" s="23" t="n">
        <f aca="false">SUM(E5:E9)</f>
        <v>5129198.1</v>
      </c>
      <c r="F10" s="10" t="n">
        <f aca="false">SUM(F5:F9)</f>
        <v>306706</v>
      </c>
      <c r="G10" s="23" t="n">
        <f aca="false">SUM(G5:G9)</f>
        <v>5164307.7</v>
      </c>
      <c r="H10" s="10" t="n">
        <f aca="false">SUM(H5:H9)</f>
        <v>315961</v>
      </c>
      <c r="I10" s="23" t="n">
        <f aca="false">SUM(I5:I9)</f>
        <v>5326815.1</v>
      </c>
      <c r="J10" s="10" t="n">
        <f aca="false">SUM(J5:J9)</f>
        <v>307323</v>
      </c>
      <c r="K10" s="23" t="n">
        <f aca="false">SUM(K5:K9)</f>
        <v>5140441.6</v>
      </c>
      <c r="L10" s="10" t="n">
        <f aca="false">SUM(L5:L9)</f>
        <v>1516858</v>
      </c>
      <c r="M10" s="23" t="n">
        <f aca="false">SUM(M5:M9)</f>
        <v>25483095.9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24" hidden="false" customHeight="true" outlineLevel="0" collapsed="false">
      <c r="A1" s="24" t="s">
        <v>51</v>
      </c>
      <c r="B1" s="24"/>
      <c r="C1" s="24"/>
      <c r="D1" s="24"/>
      <c r="E1" s="24"/>
      <c r="F1" s="24"/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</row>
    <row r="4" customFormat="false" ht="15" hidden="false" customHeight="false" outlineLevel="0" collapsed="false">
      <c r="A4" s="17" t="s">
        <v>58</v>
      </c>
      <c r="B4" s="17" t="s">
        <v>59</v>
      </c>
      <c r="C4" s="17" t="s">
        <v>60</v>
      </c>
      <c r="D4" s="17" t="s">
        <v>61</v>
      </c>
      <c r="E4" s="11" t="n">
        <v>4.8</v>
      </c>
      <c r="F4" s="17" t="s">
        <v>62</v>
      </c>
    </row>
    <row r="5" customFormat="false" ht="15" hidden="false" customHeight="false" outlineLevel="0" collapsed="false">
      <c r="A5" s="21" t="s">
        <v>63</v>
      </c>
      <c r="B5" s="21" t="s">
        <v>64</v>
      </c>
      <c r="C5" s="21" t="s">
        <v>65</v>
      </c>
      <c r="D5" s="21" t="s">
        <v>66</v>
      </c>
      <c r="E5" s="12" t="n">
        <v>38.5</v>
      </c>
      <c r="F5" s="21" t="s">
        <v>67</v>
      </c>
    </row>
    <row r="6" customFormat="false" ht="15" hidden="false" customHeight="false" outlineLevel="0" collapsed="false">
      <c r="A6" s="17" t="s">
        <v>68</v>
      </c>
      <c r="B6" s="17" t="s">
        <v>69</v>
      </c>
      <c r="C6" s="17" t="s">
        <v>60</v>
      </c>
      <c r="D6" s="17" t="s">
        <v>66</v>
      </c>
      <c r="E6" s="11" t="n">
        <v>95</v>
      </c>
      <c r="F6" s="17" t="s">
        <v>70</v>
      </c>
    </row>
    <row r="7" customFormat="false" ht="15" hidden="false" customHeight="false" outlineLevel="0" collapsed="false">
      <c r="A7" s="21" t="s">
        <v>71</v>
      </c>
      <c r="B7" s="21" t="s">
        <v>72</v>
      </c>
      <c r="C7" s="21" t="s">
        <v>65</v>
      </c>
      <c r="D7" s="21" t="s">
        <v>73</v>
      </c>
      <c r="E7" s="12" t="n">
        <v>12.3</v>
      </c>
      <c r="F7" s="21" t="s">
        <v>74</v>
      </c>
    </row>
    <row r="8" customFormat="false" ht="15" hidden="false" customHeight="false" outlineLevel="0" collapsed="false">
      <c r="A8" s="17" t="s">
        <v>75</v>
      </c>
      <c r="B8" s="17" t="s">
        <v>76</v>
      </c>
      <c r="C8" s="17" t="s">
        <v>65</v>
      </c>
      <c r="D8" s="17" t="s">
        <v>77</v>
      </c>
      <c r="E8" s="11" t="n">
        <v>48</v>
      </c>
      <c r="F8" s="17" t="s">
        <v>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2026-07-01T13:21:57Z</dcterms:created>
  <dc:creator>openpyxl</dc:creator>
  <dc:description/>
  <dc:language>en-US</dc:language>
  <cp:lastModifiedBy/>
  <dcterms:modified xsi:type="dcterms:W3CDTF">2026-07-01T13:21:58Z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