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Análisis T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4" fontId="0" fillId="4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B1" s="1" t="inlineStr"/>
    </row>
    <row r="2">
      <c r="B2" s="1" t="inlineStr">
        <is>
          <t>DAVITA HEALTHCARE SERVICES</t>
        </is>
      </c>
    </row>
    <row r="3">
      <c r="B3" s="1" t="inlineStr">
        <is>
          <t>Caso TCO Internacional — Importación de Membranas de Diálisis</t>
        </is>
      </c>
    </row>
    <row r="4">
      <c r="B4" s="1" t="inlineStr"/>
    </row>
    <row r="5">
      <c r="B5" s="1" t="inlineStr">
        <is>
          <t>Caso de estudio para análisis y discusión grupal</t>
        </is>
      </c>
    </row>
    <row r="6">
      <c r="B6" s="1" t="inlineStr"/>
    </row>
    <row r="7">
      <c r="B7" s="2" t="inlineStr">
        <is>
          <t>🎯 CONTEXTO</t>
        </is>
      </c>
    </row>
    <row r="8">
      <c r="B8" s="1" t="inlineStr">
        <is>
          <t xml:space="preserve">DaVita es un proveedor global de servicios de diálisis. En Ecuador, opera centros de tratamiento renal y necesita importar 𝟮𝟰𝟬,𝟬𝟬𝟬 𝗺𝗲𝗺𝗯𝗿𝗮𝗻𝗮𝘀 𝗱𝗲 𝗱𝗶á𝗹𝗶𝘀𝗶𝘀 anuales para atender a sus pacientes en tratamiento de hemodiálisis.
Tiene 3 cotizaciones internacionales:
  • Proveedor A — Bangkok, Tailandia (Asia: FOB bajo, lejos, sin TLC)
  • Proveedor B — Gambro, Suecia (Europa: FOB alto, lejos, ACMP UE 0%)
  • Proveedor C — San Pablo, Brasil (Sudamérica: FOB medio, cerca, CAN-Mercosur 0%)
El equipo de operaciones y compras debe seleccionar UN solo proveedor considerando: precio FOB, distancia y flete por kg-km, costo de contenedor según región, aranceles e impuestos, gestión de inventario (sin EOQ) y ciclo de caja (CCC). A diferencia del modelo orientado a producción, DaVita debe garantizar abastecimiento continuo sin romper stock (criticidad médica).
</t>
        </is>
      </c>
    </row>
    <row r="9">
      <c r="B9" s="1" t="inlineStr"/>
    </row>
    <row r="10">
      <c r="B10" s="2" t="inlineStr">
        <is>
          <t>👥 TALLER GRUPAL</t>
        </is>
      </c>
    </row>
    <row r="11">
      <c r="B11" s="1" t="inlineStr">
        <is>
          <t xml:space="preserve">Forme equipos de 3 a 5 personas. Toda la actividad cabe en UNA SOLA HOJA llamada 'Análisis TCO' y debe completarse en aproximadamente 𝟭 𝗮 𝟭.𝟱 𝗵𝗼𝗿𝗮𝘀.
  📍 Celdas AZULES sobre AMARILLO = inputs (NO modificar)
  📍 Celdas CELESTE CLARO = vacías para llenar con fórmulas
  📍 Columna H 'Fórmula / Explicación' = pista para construir cada cálculo
Resuelvan los 9 pasos de arriba hacia abajo y discutan la decisión final como equipo.
</t>
        </is>
      </c>
    </row>
    <row r="12">
      <c r="B12" s="1" t="inlineStr"/>
    </row>
    <row r="13">
      <c r="B13" s="2" t="inlineStr">
        <is>
          <t>🗺️ ESTRUCTURA — 9 PASOS EN UNA HOJA (SIN EOQ)</t>
        </is>
      </c>
    </row>
    <row r="14">
      <c r="B14" s="1" t="inlineStr">
        <is>
          <t xml:space="preserve">  PASO 1  — Datos del Problema (parámetros generales)
  PASO 2  — Cotizaciones de los 3 Proveedores
  PASO 3  — Cálculo del Flete Internacional (kg × km × tarifa por región)
  PASO 4  — Valor CIF unitario (FOB + Flete + Seguro)
  PASO 5  — Aranceles e Impuestos (Arancel + FODINFA + Despacho)
  PASO 6  — Landed Cost Unitario (CIF + Aranceles + Impuestos)
  PASO 7  — Cubicaje: Cajas, Pallets y Contenedores 40' HQ
  PASO 8  — TCO Anual Total (SIN EOQ) + CCC Ampliado
  PASO 9  — Ranking Final y Decisión
🧠 PREGUNTAS DE DISCUSIÓN GRUPAL:
  ① ¿Cuál proveedor tiene el FOB más bajo? ¿Es el ganador del TCO?
  ② ¿Qué peso tiene la logística en una cadena de suministro crítica (diálisis)?
  ③ ¿Cómo afectan los aranceles (TLC vs sin TLC) la viabilidad de cada proveedor?
  ④ ¿Cuáles son las diferencias entre gestionar inventario de consumibles versus equipos?
  ⑤ ¿Qué argumento usarían frente al director médico para defender su decisión?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8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/>
    <row r="2">
      <c r="B2" s="3" t="inlineStr">
        <is>
          <t>ANÁLISIS TCO INTERNACIONAL — Importación de Membranas de Diálisis</t>
        </is>
      </c>
    </row>
    <row r="3">
      <c r="B3" s="4" t="inlineStr">
        <is>
          <t>DaVita Healthcare Services | 240,000 membranas/año | 3 proveedores: Tailandia • Suecia • Brasil</t>
        </is>
      </c>
    </row>
    <row r="4"/>
    <row r="5">
      <c r="B5" s="5" t="inlineStr">
        <is>
          <t>#</t>
        </is>
      </c>
      <c r="C5" s="5" t="inlineStr">
        <is>
          <t>CONCEPTO</t>
        </is>
      </c>
      <c r="D5" s="5" t="inlineStr">
        <is>
          <t>Proveedor A
Bangkok, Tailandia</t>
        </is>
      </c>
      <c r="E5" s="5" t="inlineStr">
        <is>
          <t>Proveedor B
Gambro, Suecia</t>
        </is>
      </c>
      <c r="F5" s="5" t="inlineStr">
        <is>
          <t>Proveedor C
San Pablo, Brasil</t>
        </is>
      </c>
      <c r="G5" s="5" t="inlineStr">
        <is>
          <t>Fórmula / Explicación</t>
        </is>
      </c>
    </row>
    <row r="6"/>
    <row r="7">
      <c r="B7" s="6" t="inlineStr">
        <is>
          <t>PASO 1</t>
        </is>
      </c>
      <c r="C7" s="6" t="inlineStr">
        <is>
          <t>DATOS DEL PROBLEMA (parámetros generales)</t>
        </is>
      </c>
      <c r="D7" s="6" t="n"/>
      <c r="E7" s="6" t="n"/>
      <c r="F7" s="6" t="n"/>
      <c r="G7" s="6" t="n"/>
    </row>
    <row r="8">
      <c r="B8" t="inlineStr"/>
      <c r="C8" t="inlineStr">
        <is>
          <t>Demanda anual (unidades)</t>
        </is>
      </c>
      <c r="D8" s="7" t="n">
        <v>240000</v>
      </c>
      <c r="E8" t="inlineStr"/>
      <c r="F8" t="inlineStr"/>
      <c r="G8" t="inlineStr">
        <is>
          <t>Necesidad anual de membranas de diálisis</t>
        </is>
      </c>
    </row>
    <row r="9">
      <c r="B9" t="inlineStr"/>
      <c r="C9" t="inlineStr">
        <is>
          <t>Coeficiente de variación (CV)</t>
        </is>
      </c>
      <c r="D9" s="7" t="n">
        <v>0.15</v>
      </c>
      <c r="E9" t="inlineStr"/>
      <c r="F9" t="inlineStr"/>
      <c r="G9" t="inlineStr">
        <is>
          <t>Variabilidad mensual de la demanda (menor que manufactura)</t>
        </is>
      </c>
    </row>
    <row r="10">
      <c r="B10" t="inlineStr"/>
      <c r="C10" t="inlineStr">
        <is>
          <t>Nivel de servicio objetivo</t>
        </is>
      </c>
      <c r="D10" s="7" t="n">
        <v>0.98</v>
      </c>
      <c r="E10" t="inlineStr"/>
      <c r="F10" t="inlineStr"/>
      <c r="G10" t="inlineStr">
        <is>
          <t>98% de probabilidad de no quebrar stock (criticidad médica)</t>
        </is>
      </c>
    </row>
    <row r="11">
      <c r="B11" t="inlineStr"/>
      <c r="C11" t="inlineStr">
        <is>
          <t>Z (factor de servicio)</t>
        </is>
      </c>
      <c r="D11" s="8">
        <f>NORMSINV(D9)</f>
        <v/>
      </c>
      <c r="E11" t="inlineStr"/>
      <c r="F11" t="inlineStr"/>
      <c r="G11" t="inlineStr">
        <is>
          <t>NORMSINV(0.98) ≈ 2.054</t>
        </is>
      </c>
    </row>
    <row r="12">
      <c r="B12" t="inlineStr"/>
      <c r="C12" t="inlineStr">
        <is>
          <t>Tasa mantener inventario (i, anual)</t>
        </is>
      </c>
      <c r="D12" s="7" t="n">
        <v>0.18</v>
      </c>
      <c r="E12" t="inlineStr"/>
      <c r="F12" t="inlineStr"/>
      <c r="G12" t="inlineStr">
        <is>
          <t>% sobre valor inventario (productos médicos perecederos)</t>
        </is>
      </c>
    </row>
    <row r="13">
      <c r="B13" t="inlineStr"/>
      <c r="C13" t="inlineStr">
        <is>
          <t>Costo administrativo por orden (S)</t>
        </is>
      </c>
      <c r="D13" s="7" t="n">
        <v>250</v>
      </c>
      <c r="E13" t="inlineStr"/>
      <c r="F13" t="inlineStr"/>
      <c r="G13" t="inlineStr">
        <is>
          <t>Costo gestión de orden internacional (menor que manufactura)</t>
        </is>
      </c>
    </row>
    <row r="14">
      <c r="B14" t="inlineStr"/>
      <c r="C14" t="inlineStr">
        <is>
          <t>WACC (costo capital anual)</t>
        </is>
      </c>
      <c r="D14" s="7" t="n">
        <v>0.14</v>
      </c>
      <c r="E14" t="inlineStr"/>
      <c r="F14" t="inlineStr"/>
      <c r="G14" t="inlineStr">
        <is>
          <t>Para costo de capital atrapado en CCC</t>
        </is>
      </c>
    </row>
    <row r="15">
      <c r="B15" t="inlineStr"/>
      <c r="C15" t="inlineStr">
        <is>
          <t>Días buffer + procesamiento + distribución</t>
        </is>
      </c>
      <c r="D15" s="7" t="n">
        <v>60</v>
      </c>
      <c r="E15" t="inlineStr"/>
      <c r="F15" t="inlineStr"/>
      <c r="G15" t="inlineStr">
        <is>
          <t>Días desde llegada MP hasta dispensación a centros</t>
        </is>
      </c>
    </row>
    <row r="16">
      <c r="B16" t="inlineStr"/>
      <c r="C16" t="inlineStr">
        <is>
          <t>Días cobro a clientes (DSO)</t>
        </is>
      </c>
      <c r="D16" s="7" t="n">
        <v>45</v>
      </c>
      <c r="E16" t="inlineStr"/>
      <c r="F16" t="inlineStr"/>
      <c r="G16" t="inlineStr">
        <is>
          <t>Cartera promedio de DaVita con hospitales/EPS</t>
        </is>
      </c>
    </row>
    <row r="17">
      <c r="B17" t="inlineStr"/>
      <c r="C17" t="inlineStr">
        <is>
          <t>Tasa de defectos / no conformidad</t>
        </is>
      </c>
      <c r="D17" s="7" t="n">
        <v>0.02</v>
      </c>
      <c r="E17" t="inlineStr"/>
      <c r="F17" t="inlineStr"/>
      <c r="G17" t="inlineStr">
        <is>
          <t>Rechazo de membranas durante inspección (normalidad 1-3%)</t>
        </is>
      </c>
    </row>
    <row r="18">
      <c r="B18" t="inlineStr"/>
      <c r="C18" t="inlineStr">
        <is>
          <t>Arancel importación (%)</t>
        </is>
      </c>
      <c r="D18" s="9" t="inlineStr">
        <is>
          <t>VARIABLE</t>
        </is>
      </c>
      <c r="E18" t="inlineStr"/>
      <c r="F18" t="inlineStr"/>
      <c r="G18" t="inlineStr">
        <is>
          <t>China: 8% | UE: 0% (ACMP) | Brasil: 0% (CAN-Mercosur)</t>
        </is>
      </c>
    </row>
    <row r="19">
      <c r="B19" t="inlineStr"/>
      <c r="C19" t="inlineStr">
        <is>
          <t>FODINFA (%)</t>
        </is>
      </c>
      <c r="D19" s="7" t="n">
        <v>0.5</v>
      </c>
      <c r="E19" t="inlineStr"/>
      <c r="F19" t="inlineStr"/>
      <c r="G19" t="inlineStr">
        <is>
          <t>Fondo de Desarrollo de Infraestructura — Ecuatorial</t>
        </is>
      </c>
    </row>
    <row r="20">
      <c r="B20" s="6" t="inlineStr">
        <is>
          <t>PASO 2</t>
        </is>
      </c>
      <c r="C20" s="6" t="inlineStr">
        <is>
          <t>COTIZACIONES DE LOS 3 PROVEEDORES (FOB)</t>
        </is>
      </c>
      <c r="D20" s="6" t="n"/>
      <c r="E20" s="6" t="n"/>
      <c r="F20" s="6" t="n"/>
      <c r="G20" s="6" t="n"/>
    </row>
    <row r="21">
      <c r="B21" t="inlineStr"/>
      <c r="C21" t="inlineStr">
        <is>
          <t>MOQ (Cantidad Mínima)</t>
        </is>
      </c>
      <c r="D21" s="7" t="n">
        <v>50000</v>
      </c>
      <c r="E21" s="7" t="n">
        <v>60000</v>
      </c>
      <c r="F21" s="7" t="n">
        <v>40000</v>
      </c>
      <c r="G21" t="inlineStr">
        <is>
          <t>Mínimo a pedir en cada orden</t>
        </is>
      </c>
    </row>
    <row r="22">
      <c r="B22" t="inlineStr"/>
      <c r="C22" t="inlineStr">
        <is>
          <t>FOB unitario (USD)</t>
        </is>
      </c>
      <c r="D22" s="7" t="n">
        <v>2.15</v>
      </c>
      <c r="E22" s="7" t="n">
        <v>3.2</v>
      </c>
      <c r="F22" s="7" t="n">
        <v>2.5</v>
      </c>
      <c r="G22" t="inlineStr">
        <is>
          <t>Precio puesto en planta del proveedor</t>
        </is>
      </c>
    </row>
    <row r="23">
      <c r="B23" t="inlineStr"/>
      <c r="C23" t="inlineStr">
        <is>
          <t>Distancia a Ecuador (km)</t>
        </is>
      </c>
      <c r="D23" s="7" t="n">
        <v>15000</v>
      </c>
      <c r="E23" s="7" t="n">
        <v>10500</v>
      </c>
      <c r="F23" s="7" t="n">
        <v>3200</v>
      </c>
      <c r="G23" t="inlineStr">
        <is>
          <t>Shanghai → Quito es 15,000 km aprox</t>
        </is>
      </c>
    </row>
    <row r="24">
      <c r="B24" t="inlineStr"/>
      <c r="C24" t="inlineStr">
        <is>
          <t>Lead time (días)</t>
        </is>
      </c>
      <c r="D24" s="7" t="n">
        <v>35</v>
      </c>
      <c r="E24" s="7" t="n">
        <v>28</v>
      </c>
      <c r="F24" s="7" t="n">
        <v>14</v>
      </c>
      <c r="G24" t="inlineStr">
        <is>
          <t>Días desde orden confirmada hasta llegada a Quito</t>
        </is>
      </c>
    </row>
    <row r="25">
      <c r="B25" t="inlineStr"/>
      <c r="C25" t="inlineStr">
        <is>
          <t>Crédito de proveedor (DPO, días)</t>
        </is>
      </c>
      <c r="D25" s="7" t="n">
        <v>30</v>
      </c>
      <c r="E25" s="7" t="n">
        <v>45</v>
      </c>
      <c r="F25" s="7" t="n">
        <v>35</v>
      </c>
      <c r="G25" t="inlineStr">
        <is>
          <t>Días de crédito otorgados por el proveedor</t>
        </is>
      </c>
    </row>
    <row r="26">
      <c r="B26" s="6" t="inlineStr">
        <is>
          <t>PASO 3</t>
        </is>
      </c>
      <c r="C26" s="6" t="inlineStr">
        <is>
          <t>CÁLCULO DEL FLETE INTERNACIONAL</t>
        </is>
      </c>
      <c r="D26" s="6" t="n"/>
      <c r="E26" s="6" t="n"/>
      <c r="F26" s="6" t="n"/>
      <c r="G26" s="6" t="n"/>
    </row>
    <row r="27">
      <c r="B27" t="inlineStr"/>
      <c r="C27" t="inlineStr">
        <is>
          <t>Peso unitario (kg)</t>
        </is>
      </c>
      <c r="D27" s="7" t="n">
        <v>0.15</v>
      </c>
      <c r="E27" s="7" t="n">
        <v>0.15</v>
      </c>
      <c r="F27" s="7" t="n">
        <v>0.15</v>
      </c>
      <c r="G27" t="inlineStr">
        <is>
          <t>Membrana de diálisis + embalaje</t>
        </is>
      </c>
    </row>
    <row r="28">
      <c r="B28" t="inlineStr"/>
      <c r="C28" t="inlineStr">
        <is>
          <t>Tarifa flete (USD/kg-km)</t>
        </is>
      </c>
      <c r="D28" s="7" t="n">
        <v>0.00025</v>
      </c>
      <c r="E28" s="7" t="n">
        <v>0.00027</v>
      </c>
      <c r="F28" s="7" t="n">
        <v>0.0002</v>
      </c>
      <c r="G28" t="inlineStr">
        <is>
          <t>Tarifa regional: Asia más barata, Europa cara</t>
        </is>
      </c>
    </row>
    <row r="29">
      <c r="B29" t="inlineStr"/>
      <c r="C29" t="inlineStr">
        <is>
          <t>Flete unitario  =  kg × km × tarifa</t>
        </is>
      </c>
      <c r="D29" s="8">
        <f>D27*D23*D28</f>
        <v/>
      </c>
      <c r="E29" s="8">
        <f>E27*E23*E28</f>
        <v/>
      </c>
      <c r="F29" s="8">
        <f>F27*F23*F28</f>
        <v/>
      </c>
      <c r="G29" t="inlineStr">
        <is>
          <t>Costo logístico por membrana de diálisis</t>
        </is>
      </c>
    </row>
    <row r="30">
      <c r="B30" t="inlineStr"/>
      <c r="C30" t="inlineStr">
        <is>
          <t>Seguro transporte (% del FOB)</t>
        </is>
      </c>
      <c r="D30" s="7" t="n">
        <v>0.02</v>
      </c>
      <c r="E30" s="7" t="n">
        <v>0.02</v>
      </c>
      <c r="F30" s="7" t="n">
        <v>0.02</v>
      </c>
      <c r="G30" t="inlineStr">
        <is>
          <t>Cobertura de riesgo en tránsito</t>
        </is>
      </c>
    </row>
    <row r="31">
      <c r="B31" t="inlineStr"/>
      <c r="C31" t="inlineStr">
        <is>
          <t>Seguro unitario  =  FOB × %</t>
        </is>
      </c>
      <c r="D31" s="8">
        <f>D22*D31</f>
        <v/>
      </c>
      <c r="E31" s="8">
        <f>E22*E31</f>
        <v/>
      </c>
      <c r="F31" s="8">
        <f>F22*F31</f>
        <v/>
      </c>
      <c r="G31" t="inlineStr">
        <is>
          <t>Costo de póliza por unidad</t>
        </is>
      </c>
    </row>
    <row r="32">
      <c r="B32" s="6" t="inlineStr">
        <is>
          <t>PASO 4</t>
        </is>
      </c>
      <c r="C32" s="6" t="inlineStr">
        <is>
          <t>VALOR CIF UNITARIO (puesto en puerto Ecuador)</t>
        </is>
      </c>
      <c r="D32" s="6" t="n"/>
      <c r="E32" s="6" t="n"/>
      <c r="F32" s="6" t="n"/>
      <c r="G32" s="6" t="n"/>
    </row>
    <row r="33">
      <c r="B33" t="inlineStr"/>
      <c r="C33" t="inlineStr">
        <is>
          <t>CIF unitario  =  FOB + Flete + Seguro</t>
        </is>
      </c>
      <c r="D33" s="8">
        <f>D22+D29+D32</f>
        <v/>
      </c>
      <c r="E33" s="8">
        <f>E22+E29+E32</f>
        <v/>
      </c>
      <c r="F33" s="8">
        <f>F22+F29+F32</f>
        <v/>
      </c>
      <c r="G33" t="inlineStr">
        <is>
          <t>Costo internacional de la membrana</t>
        </is>
      </c>
    </row>
    <row r="34">
      <c r="B34" s="6" t="inlineStr">
        <is>
          <t>PASO 5</t>
        </is>
      </c>
      <c r="C34" s="6" t="inlineStr">
        <is>
          <t>ARANCELES E IMPUESTOS DE IMPORTACIÓN</t>
        </is>
      </c>
      <c r="D34" s="6" t="n"/>
      <c r="E34" s="6" t="n"/>
      <c r="F34" s="6" t="n"/>
      <c r="G34" s="6" t="n"/>
    </row>
    <row r="35">
      <c r="B35" t="inlineStr"/>
      <c r="C35" t="inlineStr">
        <is>
          <t>Arancel %</t>
        </is>
      </c>
      <c r="D35" s="7" t="n">
        <v>0.08</v>
      </c>
      <c r="E35" s="9" t="n">
        <v>0</v>
      </c>
      <c r="F35" s="9" t="n">
        <v>0</v>
      </c>
      <c r="G35" t="inlineStr">
        <is>
          <t>Tailandia: 8% | Suecia ACMP UE: 0% | Brasil CAN-Mercosur: 0%</t>
        </is>
      </c>
    </row>
    <row r="36">
      <c r="B36" t="inlineStr"/>
      <c r="C36" t="inlineStr">
        <is>
          <t>Arancel unitario  =  CIF × Arancel %</t>
        </is>
      </c>
      <c r="D36" s="8">
        <f>D35*D34</f>
        <v/>
      </c>
      <c r="E36" s="8">
        <f>E35*E34</f>
        <v/>
      </c>
      <c r="F36" s="8">
        <f>F35*F34</f>
        <v/>
      </c>
      <c r="G36" t="inlineStr">
        <is>
          <t>Costo arancelario por membrana</t>
        </is>
      </c>
    </row>
    <row r="37">
      <c r="B37" t="inlineStr"/>
      <c r="C37" t="inlineStr">
        <is>
          <t>FODINFA unitario  =  CIF × 0.5%</t>
        </is>
      </c>
      <c r="D37" s="8">
        <f>D35*0.005</f>
        <v/>
      </c>
      <c r="E37" s="8">
        <f>E35*0.005</f>
        <v/>
      </c>
      <c r="F37" s="8">
        <f>F35*0.005</f>
        <v/>
      </c>
      <c r="G37" t="inlineStr">
        <is>
          <t>CIF × 0.5%</t>
        </is>
      </c>
    </row>
    <row r="38">
      <c r="B38" t="inlineStr"/>
      <c r="C38" t="inlineStr">
        <is>
          <t>Total impuestos unitario  =  Arancel + FODINFA</t>
        </is>
      </c>
      <c r="D38" s="8">
        <f>D36+D37</f>
        <v/>
      </c>
      <c r="E38" s="8">
        <f>E36+E37</f>
        <v/>
      </c>
      <c r="F38" s="8">
        <f>F36+F37</f>
        <v/>
      </c>
      <c r="G38" t="inlineStr">
        <is>
          <t>Suma de tributos por unidad</t>
        </is>
      </c>
    </row>
    <row r="39">
      <c r="B39" s="6" t="inlineStr">
        <is>
          <t>PASO 6</t>
        </is>
      </c>
      <c r="C39" s="6" t="inlineStr">
        <is>
          <t>LANDED COST UNITARIO (puesto en bodega Ecuador)</t>
        </is>
      </c>
      <c r="D39" s="6" t="n"/>
      <c r="E39" s="6" t="n"/>
      <c r="F39" s="6" t="n"/>
      <c r="G39" s="6" t="n"/>
    </row>
    <row r="40">
      <c r="B40" t="inlineStr"/>
      <c r="C40" t="inlineStr">
        <is>
          <t>LANDED COST  =  CIF + Total Impuestos</t>
        </is>
      </c>
      <c r="D40" s="8">
        <f>D35+D38</f>
        <v/>
      </c>
      <c r="E40" s="8">
        <f>E35+E38</f>
        <v/>
      </c>
      <c r="F40" s="8">
        <f>F35+F38</f>
        <v/>
      </c>
      <c r="G40" t="inlineStr">
        <is>
          <t>Costo real por membrana puesta en bodega Quito</t>
        </is>
      </c>
    </row>
    <row r="41"/>
    <row r="42">
      <c r="B42" s="6" t="inlineStr">
        <is>
          <t>PASO 7</t>
        </is>
      </c>
      <c r="C42" s="6" t="inlineStr">
        <is>
          <t>🚢 CUBICAJE: CAJAS, PALLETS Y CONTENEDORES 40' HQ</t>
        </is>
      </c>
      <c r="D42" s="6" t="n"/>
      <c r="E42" s="6" t="n"/>
      <c r="F42" s="6" t="n"/>
      <c r="G42" s="6" t="n"/>
    </row>
    <row r="43">
      <c r="B43" t="inlineStr"/>
      <c r="C43" t="inlineStr">
        <is>
          <t>Unidades por caja</t>
        </is>
      </c>
      <c r="D43" s="7" t="n">
        <v>200</v>
      </c>
      <c r="E43" s="7" t="n">
        <v>200</v>
      </c>
      <c r="F43" s="7" t="n">
        <v>200</v>
      </c>
      <c r="G43" t="inlineStr">
        <is>
          <t>Membranas individuales empacadas</t>
        </is>
      </c>
    </row>
    <row r="44">
      <c r="B44" t="inlineStr"/>
      <c r="C44" t="inlineStr">
        <is>
          <t>Cajas por pallet</t>
        </is>
      </c>
      <c r="D44" s="7" t="n">
        <v>25</v>
      </c>
      <c r="E44" s="7" t="n">
        <v>25</v>
      </c>
      <c r="F44" s="7" t="n">
        <v>25</v>
      </c>
      <c r="G44" t="inlineStr">
        <is>
          <t>Estándar europeo 1200×800</t>
        </is>
      </c>
    </row>
    <row r="45">
      <c r="B45" t="inlineStr"/>
      <c r="C45" t="inlineStr">
        <is>
          <t>Pallets por contenedor 40' HQ</t>
        </is>
      </c>
      <c r="D45" s="7" t="n">
        <v>24</v>
      </c>
      <c r="E45" s="7" t="n">
        <v>24</v>
      </c>
      <c r="F45" s="7" t="n">
        <v>24</v>
      </c>
      <c r="G45" t="inlineStr">
        <is>
          <t>Máximo aprovechamiento de altura</t>
        </is>
      </c>
    </row>
    <row r="46">
      <c r="B46" t="inlineStr"/>
      <c r="C46" t="inlineStr">
        <is>
          <t>Unidades por contenedor  =  U/caja × Cajas/pallet × Pallets/cont</t>
        </is>
      </c>
      <c r="D46" s="8">
        <f>D44*D45*D46</f>
        <v/>
      </c>
      <c r="E46" s="8">
        <f>E44*E45*E46</f>
        <v/>
      </c>
      <c r="F46" s="8">
        <f>F44*F45*F46</f>
        <v/>
      </c>
      <c r="G46" t="inlineStr">
        <is>
          <t>200 × 25 × 24 = 120,000 membranas/contenedor</t>
        </is>
      </c>
    </row>
    <row r="47">
      <c r="B47" t="inlineStr"/>
      <c r="C47" t="inlineStr">
        <is>
          <t>Cajas master totales/año</t>
        </is>
      </c>
      <c r="D47" s="8">
        <f>$D$8/D44</f>
        <v/>
      </c>
      <c r="E47" s="8">
        <f>$D$8/E44</f>
        <v/>
      </c>
      <c r="F47" s="8">
        <f>$D$8/F44</f>
        <v/>
      </c>
      <c r="G47" t="inlineStr">
        <is>
          <t>Demanda anual / unidades por caja</t>
        </is>
      </c>
    </row>
    <row r="48">
      <c r="B48" t="inlineStr"/>
      <c r="C48" t="inlineStr">
        <is>
          <t>Pallets totales/año</t>
        </is>
      </c>
      <c r="D48" s="8">
        <f>D48/D45</f>
        <v/>
      </c>
      <c r="E48" s="8">
        <f>E48/E45</f>
        <v/>
      </c>
      <c r="F48" s="8">
        <f>F48/F45</f>
        <v/>
      </c>
      <c r="G48" t="inlineStr">
        <is>
          <t>Total pallets que se moverán en el año</t>
        </is>
      </c>
    </row>
    <row r="49">
      <c r="B49" t="inlineStr"/>
      <c r="C49" t="inlineStr">
        <is>
          <t>Contenedores teóricos/año</t>
        </is>
      </c>
      <c r="D49" s="8">
        <f>$D$8/D47</f>
        <v/>
      </c>
      <c r="E49" s="8">
        <f>$D$8/E47</f>
        <v/>
      </c>
      <c r="F49" s="8">
        <f>$D$8/F47</f>
        <v/>
      </c>
      <c r="G49" t="inlineStr">
        <is>
          <t>Cuántos contenedores se necesitan en total</t>
        </is>
      </c>
    </row>
    <row r="50">
      <c r="B50" t="inlineStr"/>
      <c r="C50" t="inlineStr">
        <is>
          <t>Contenedores enteros/año  =  CEILING(teóricos, 1)</t>
        </is>
      </c>
      <c r="D50" s="8">
        <f>CEILING(D50,1)</f>
        <v/>
      </c>
      <c r="E50" s="8">
        <f>CEILING(E50,1)</f>
        <v/>
      </c>
      <c r="F50" s="8">
        <f>CEILING(F50,1)</f>
        <v/>
      </c>
      <c r="G50" t="inlineStr">
        <is>
          <t>Contenedores físicos a reservar</t>
        </is>
      </c>
    </row>
    <row r="51">
      <c r="B51" t="inlineStr"/>
      <c r="C51" t="inlineStr">
        <is>
          <t>Costo por contenedor (USD)</t>
        </is>
      </c>
      <c r="D51" s="7" t="n">
        <v>4500</v>
      </c>
      <c r="E51" s="7" t="n">
        <v>4800</v>
      </c>
      <c r="F51" s="7" t="n">
        <v>3200</v>
      </c>
      <c r="G51" t="inlineStr">
        <is>
          <t>Asia: 4,500 | Europa: 4,800 | Sudamérica: 3,200</t>
        </is>
      </c>
    </row>
    <row r="52">
      <c r="B52" t="inlineStr"/>
      <c r="C52" t="inlineStr">
        <is>
          <t>Costo total contenedores/año</t>
        </is>
      </c>
      <c r="D52" s="8">
        <f>D51*D53</f>
        <v/>
      </c>
      <c r="E52" s="8">
        <f>E51*E53</f>
        <v/>
      </c>
      <c r="F52" s="8">
        <f>F51*F53</f>
        <v/>
      </c>
      <c r="G52" t="inlineStr">
        <is>
          <t>Logística contenerizada total anual</t>
        </is>
      </c>
    </row>
    <row r="53"/>
    <row r="54"/>
    <row r="55">
      <c r="B55" s="6" t="inlineStr">
        <is>
          <t>PASO 8</t>
        </is>
      </c>
      <c r="C55" s="6" t="inlineStr">
        <is>
          <t>TCO ANUAL TOTAL (SIN EOQ) + CCC AMPLIADO</t>
        </is>
      </c>
      <c r="D55" s="6" t="n"/>
      <c r="E55" s="6" t="n"/>
      <c r="F55" s="6" t="n"/>
      <c r="G55" s="6" t="n"/>
    </row>
    <row r="56"/>
    <row r="57">
      <c r="B57" t="inlineStr"/>
      <c r="C57" t="inlineStr">
        <is>
          <t>(1) Costo materiales (FOB × D)</t>
        </is>
      </c>
      <c r="D57" s="8">
        <f>D22*$D$8</f>
        <v/>
      </c>
      <c r="E57" s="8">
        <f>E22*$D$8</f>
        <v/>
      </c>
      <c r="F57" s="8">
        <f>F22*$D$8</f>
        <v/>
      </c>
      <c r="G57" t="inlineStr">
        <is>
          <t>FOB × Demanda (sin logística ni impuestos)</t>
        </is>
      </c>
    </row>
    <row r="58">
      <c r="B58" t="inlineStr"/>
      <c r="C58" t="inlineStr">
        <is>
          <t>(2) Logística int. (Flete + Seguro) × D</t>
        </is>
      </c>
      <c r="D58" s="8">
        <f>(D29+D32)*$D$8</f>
        <v/>
      </c>
      <c r="E58" s="8">
        <f>(E29+E32)*$D$8</f>
        <v/>
      </c>
      <c r="F58" s="8">
        <f>(F29+F32)*$D$8</f>
        <v/>
      </c>
      <c r="G58" t="inlineStr">
        <is>
          <t>(Flete unit + Seguro unit) × Demanda anual</t>
        </is>
      </c>
    </row>
    <row r="59">
      <c r="B59" t="inlineStr"/>
      <c r="C59" t="inlineStr">
        <is>
          <t>(3) Aduanas (Arancel + FODINFA) × D</t>
        </is>
      </c>
      <c r="D59" s="8">
        <f>D38*$D$8</f>
        <v/>
      </c>
      <c r="E59" s="8">
        <f>E38*$D$8</f>
        <v/>
      </c>
      <c r="F59" s="8">
        <f>F38*$D$8</f>
        <v/>
      </c>
      <c r="G59" t="inlineStr">
        <is>
          <t>Total impuestos unit × Demanda anual</t>
        </is>
      </c>
    </row>
    <row r="60">
      <c r="B60" t="inlineStr"/>
      <c r="C60" t="inlineStr">
        <is>
          <t>(4) Costo defectos/no conformidad  =  D × Tasa def × Landed</t>
        </is>
      </c>
      <c r="D60" s="8">
        <f>$D$8*D19*D40</f>
        <v/>
      </c>
      <c r="E60" s="8">
        <f>$D$8*D19*E40</f>
        <v/>
      </c>
      <c r="F60" s="8">
        <f>$D$8*D19*F40</f>
        <v/>
      </c>
      <c r="G60" t="inlineStr">
        <is>
          <t>Membranas rechazadas por control de calidad</t>
        </is>
      </c>
    </row>
    <row r="61">
      <c r="B61" t="inlineStr"/>
      <c r="C61" t="inlineStr">
        <is>
          <t>(5) Costo contenedores 40' HQ (PASO 7)</t>
        </is>
      </c>
      <c r="D61" s="8">
        <f>D54</f>
        <v/>
      </c>
      <c r="E61" s="8">
        <f>E54</f>
        <v/>
      </c>
      <c r="F61" s="8">
        <f>F54</f>
        <v/>
      </c>
      <c r="G61" t="inlineStr">
        <is>
          <t>Trae el resultado del Paso 7 — logística containerizada</t>
        </is>
      </c>
    </row>
    <row r="62">
      <c r="B62" t="inlineStr"/>
      <c r="C62" t="inlineStr">
        <is>
          <t>(6) Costo gestión de órdenes/año</t>
        </is>
      </c>
      <c r="D62" t="inlineStr">
        <is>
          <t>$D$13*CEILING($D$8/$D$21,1)*1</t>
        </is>
      </c>
      <c r="E62" t="inlineStr">
        <is>
          <t>$D$13*CEILING($D$8/$E$21,1)*1</t>
        </is>
      </c>
      <c r="F62" t="inlineStr">
        <is>
          <t>$D$13*CEILING($D$8/$F$21,1)*1</t>
        </is>
      </c>
      <c r="G62" t="inlineStr">
        <is>
          <t>Costo por orden × (Demanda/MOQ). SIN holding ni ordenar porque es demand-driven.</t>
        </is>
      </c>
    </row>
    <row r="63"/>
    <row r="64">
      <c r="B64" s="10" t="inlineStr"/>
      <c r="C64" s="10" t="inlineStr">
        <is>
          <t>🏆 TCO ANUAL TOTAL (suma 1 a 6)</t>
        </is>
      </c>
      <c r="D64" s="11">
        <f>SUM(D57:D62)</f>
        <v/>
      </c>
      <c r="E64" s="11">
        <f>SUM(E57:E62)</f>
        <v/>
      </c>
      <c r="F64" s="11">
        <f>SUM(F57:F62)</f>
        <v/>
      </c>
      <c r="G64" t="inlineStr">
        <is>
          <t>Costo total anual de importar 240,000 membranas (SIN EOQ)</t>
        </is>
      </c>
    </row>
    <row r="65">
      <c r="B65" t="inlineStr"/>
      <c r="C65" t="inlineStr">
        <is>
          <t>TCO unitario  =  TCO Total / Demanda</t>
        </is>
      </c>
      <c r="D65" s="8">
        <f>D65/$D$8</f>
        <v/>
      </c>
      <c r="E65" s="8">
        <f>E65/$D$8</f>
        <v/>
      </c>
      <c r="F65" s="8">
        <f>F65/$D$8</f>
        <v/>
      </c>
      <c r="G65" t="inlineStr">
        <is>
          <t>Compárese con el FOB del PASO 2 — diferencia es el costo oculto</t>
        </is>
      </c>
    </row>
    <row r="66"/>
    <row r="67"/>
    <row r="68">
      <c r="B68" s="6" t="inlineStr">
        <is>
          <t>CCC</t>
        </is>
      </c>
      <c r="C68" s="6" t="inlineStr">
        <is>
          <t>CICLO DE CONVERSIÓN DE CAJA AMPLIADO</t>
        </is>
      </c>
      <c r="D68" s="6" t="n"/>
      <c r="E68" s="6" t="n"/>
      <c r="F68" s="6" t="n"/>
      <c r="G68" s="6" t="n"/>
    </row>
    <row r="69">
      <c r="B69" t="inlineStr"/>
      <c r="C69" t="inlineStr">
        <is>
          <t>C.1 DIO (Días Inventario Pendiente)</t>
        </is>
      </c>
      <c r="D69" s="8">
        <f>D25+$D$14</f>
        <v/>
      </c>
      <c r="E69" s="8">
        <f>E25+$D$14</f>
        <v/>
      </c>
      <c r="F69" s="8">
        <f>F25+$D$14</f>
        <v/>
      </c>
      <c r="G69" t="inlineStr">
        <is>
          <t>Lead Time + Buffer (sin componente de inventario propio/EOQ)</t>
        </is>
      </c>
    </row>
    <row r="70">
      <c r="B70" t="inlineStr"/>
      <c r="C70" t="inlineStr">
        <is>
          <t>C.2 DSO (Días Venta Pendiente)</t>
        </is>
      </c>
      <c r="D70" s="8">
        <f>$D$15</f>
        <v/>
      </c>
      <c r="E70" s="8">
        <f>$D$15</f>
        <v/>
      </c>
      <c r="F70" s="8">
        <f>$D$15</f>
        <v/>
      </c>
      <c r="G70" t="inlineStr">
        <is>
          <t>50 días de cartera promedio (no depende del proveedor)</t>
        </is>
      </c>
    </row>
    <row r="71">
      <c r="B71" t="inlineStr"/>
      <c r="C71" t="inlineStr">
        <is>
          <t>C.3 DPO (Días Pago Pendiente)</t>
        </is>
      </c>
      <c r="D71" s="8">
        <f>D24</f>
        <v/>
      </c>
      <c r="E71" s="8">
        <f>E24</f>
        <v/>
      </c>
      <c r="F71" s="8">
        <f>F24</f>
        <v/>
      </c>
      <c r="G71" t="inlineStr">
        <is>
          <t>Días de crédito otorgados por el proveedor — mientras más, mejor</t>
        </is>
      </c>
    </row>
    <row r="72">
      <c r="B72" t="inlineStr"/>
      <c r="C72" t="inlineStr">
        <is>
          <t>C.4 CCC  =  DIO + DSO − DPO</t>
        </is>
      </c>
      <c r="D72" s="8">
        <f>D69+D70-D71</f>
        <v/>
      </c>
      <c r="E72" s="8">
        <f>E69+E70-E71</f>
        <v/>
      </c>
      <c r="F72" s="8">
        <f>F69+F70-F71</f>
        <v/>
      </c>
      <c r="G72" t="inlineStr">
        <is>
          <t>Días que el dinero está atrapado en el ciclo</t>
        </is>
      </c>
    </row>
    <row r="73">
      <c r="B73" t="inlineStr"/>
      <c r="C73" t="inlineStr">
        <is>
          <t>C.5 Costo capital atrapado  =  WACC × Compras × CCC/365</t>
        </is>
      </c>
      <c r="D73" s="8">
        <f>$D$12*D57*D72/365</f>
        <v/>
      </c>
      <c r="E73" s="8">
        <f>$D$12*E57*E72/365</f>
        <v/>
      </c>
      <c r="F73" s="8">
        <f>$D$12*F57*F72/365</f>
        <v/>
      </c>
      <c r="G73" t="inlineStr">
        <is>
          <t>Costo de financiamiento del working capital</t>
        </is>
      </c>
    </row>
    <row r="74"/>
    <row r="75">
      <c r="B75" s="6" t="inlineStr">
        <is>
          <t>PASO 9</t>
        </is>
      </c>
      <c r="C75" s="6" t="inlineStr">
        <is>
          <t>RANKING FINAL Y DECISIÓN (Pesos: TCO 70% + CCC 30%)</t>
        </is>
      </c>
      <c r="D75" s="6" t="n"/>
      <c r="E75" s="6" t="n"/>
      <c r="F75" s="6" t="n"/>
      <c r="G75" s="6" t="n"/>
    </row>
    <row r="76">
      <c r="B76" t="inlineStr"/>
      <c r="C76" t="inlineStr">
        <is>
          <t>9.1 Peso del TCO en la decisión</t>
        </is>
      </c>
      <c r="D76" s="7" t="n">
        <v>0.7</v>
      </c>
      <c r="E76" t="inlineStr"/>
      <c r="F76" t="inlineStr"/>
      <c r="G76" t="inlineStr">
        <is>
          <t>Peso editable: prueben 50%, 60%, 80%</t>
        </is>
      </c>
    </row>
    <row r="77">
      <c r="B77" t="inlineStr"/>
      <c r="C77" t="inlineStr">
        <is>
          <t>9.2 Peso del CCC  =  1 − Peso TCO</t>
        </is>
      </c>
      <c r="D77" s="8">
        <f>1-D76</f>
        <v/>
      </c>
      <c r="E77" t="inlineStr"/>
      <c r="F77" t="inlineStr"/>
      <c r="G77" t="inlineStr">
        <is>
          <t>Complemento del peso TCO</t>
        </is>
      </c>
    </row>
    <row r="78">
      <c r="B78" t="inlineStr"/>
      <c r="C78" t="inlineStr">
        <is>
          <t>9.3 Score TCO normalizado (0=mejor, 1=peor)</t>
        </is>
      </c>
      <c r="D78" s="8">
        <f>(D65-MIN($D$65:$F$65))/(MAX($D$65:$F$65)-MIN($D$65:$F$65))</f>
        <v/>
      </c>
      <c r="E78" s="8">
        <f>(E65-MIN($D$65:$F$65))/(MAX($D$65:$F$65)-MIN($D$65:$F$65))</f>
        <v/>
      </c>
      <c r="F78" s="8">
        <f>(F65-MIN($D$65:$F$65))/(MAX($D$65:$F$65)-MIN($D$65:$F$65))</f>
        <v/>
      </c>
      <c r="G78" t="inlineStr">
        <is>
          <t>Min-Max: (TCO − minTCO)/(maxTCO − minTCO)</t>
        </is>
      </c>
    </row>
    <row r="79">
      <c r="B79" t="inlineStr"/>
      <c r="C79" t="inlineStr">
        <is>
          <t>9.4 Score CCC normalizado (0=mejor, 1=peor)</t>
        </is>
      </c>
      <c r="D79" s="8">
        <f>(D72-MIN($D$72:$F$72))/(MAX($D$72:$F$72)-MIN($D$72:$F$72))</f>
        <v/>
      </c>
      <c r="E79" s="8">
        <f>(E72-MIN($D$72:$F$72))/(MAX($D$72:$F$72)-MIN($D$72:$F$72))</f>
        <v/>
      </c>
      <c r="F79" s="8">
        <f>(F72-MIN($D$72:$F$72))/(MAX($D$72:$F$72)-MIN($D$72:$F$72))</f>
        <v/>
      </c>
      <c r="G79" t="inlineStr">
        <is>
          <t>Min-Max del CCC (menos días = mejor)</t>
        </is>
      </c>
    </row>
    <row r="80">
      <c r="B80" t="inlineStr"/>
      <c r="C80" t="inlineStr">
        <is>
          <t>9.5 Score combinado  =  Peso_TCO×Score_TCO + Peso_CCC×Score_CCC</t>
        </is>
      </c>
      <c r="D80" s="8">
        <f>$D$76*D78+$D$77*D79</f>
        <v/>
      </c>
      <c r="E80" s="8">
        <f>$D$76*E78+$D$77*E79</f>
        <v/>
      </c>
      <c r="F80" s="8">
        <f>$D$76*F78+$D$77*F79</f>
        <v/>
      </c>
      <c r="G80" t="inlineStr">
        <is>
          <t>Score final ponderado (0 = mejor proveedor, 1 = peor)</t>
        </is>
      </c>
    </row>
    <row r="81">
      <c r="B81" t="inlineStr"/>
      <c r="C81" t="inlineStr">
        <is>
          <t>9.6 Ranking final (1 = mejor)</t>
        </is>
      </c>
      <c r="D81" s="8">
        <f>RANK(D80,$D$80:$F$80,1)</f>
        <v/>
      </c>
      <c r="E81" s="8">
        <f>RANK(E80,$D$80:$F$80,1)</f>
        <v/>
      </c>
      <c r="F81" s="8">
        <f>RANK(F80,$D$80:$F$80,1)</f>
        <v/>
      </c>
      <c r="G81" t="inlineStr">
        <is>
          <t>RANK del score combinado (1 = mejor proveedor)</t>
        </is>
      </c>
    </row>
    <row r="82">
      <c r="B82" s="10" t="inlineStr"/>
      <c r="C82" s="10" t="inlineStr">
        <is>
          <t>9.7 🏆 PROVEEDOR RECOMENDADO</t>
        </is>
      </c>
      <c r="D82" s="11">
        <f>IF(D81=1,"✓ ELEGIDO","")</f>
        <v/>
      </c>
      <c r="E82" s="11">
        <f>IF(E81=1,"✓ ELEGIDO","")</f>
        <v/>
      </c>
      <c r="F82" s="11">
        <f>IF(F81=1,"✓ ELEGIDO","")</f>
        <v/>
      </c>
      <c r="G82" t="inlineStr">
        <is>
          <t>El proveedor con ranking #1 es la mejor opción global</t>
        </is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2026-07-02T13:25:24Z</dcterms:created>
  <dcterms:modified xmlns:dcterms="http://purl.org/dc/terms/" xmlns:xsi="http://www.w3.org/2001/XMLSchema-instance" xsi:type="dcterms:W3CDTF">2026-07-02T13:25:25Z</dcterms:modified>
</cp:coreProperties>
</file>